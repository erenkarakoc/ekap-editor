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Table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
    <numFmt numFmtId="165" formatCode="0.000"/>
    <numFmt numFmtId="166" formatCode="#,##0.000"/>
    <numFmt numFmtId="167"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NumberFormat="1"/>
    <xf numFmtId="1" fontId="0" fillId="0" borderId="0" xfId="0" applyNumberFormat="1"/>
    <xf numFmtId="4" fontId="0" fillId="0" borderId="0" xfId="0" applyNumberFormat="1"/>
    <xf numFmtId="164" fontId="0" fillId="0" borderId="0" xfId="0" applyNumberFormat="1"/>
    <xf numFmtId="3" fontId="0" fillId="0" borderId="0" xfId="0" applyNumberFormat="1"/>
    <xf numFmtId="165" fontId="0" fillId="0" borderId="0" xfId="0" applyNumberFormat="1"/>
    <xf numFmtId="2"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emasÄ±">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19"/>
  <sheetViews>
    <sheetView workbookViewId="0" rightToLeft="0"/>
  </sheetViews>
  <cols>
    <col min="1" max="1" customWidth="1" width="8"/>
    <col min="2" max="2" customWidth="1" width="10.5"/>
    <col min="3" max="3" customWidth="1" width="37.33203125"/>
    <col min="4" max="4" customWidth="1" width="15.1640625"/>
    <col min="5" max="5" customWidth="1" width="15.1640625"/>
    <col min="6" max="6" customWidth="1" width="10.5"/>
    <col min="7" max="7" customWidth="1" width="10.5"/>
    <col min="8" max="8" width="14.83203125" customWidth="1"/>
    <col min="9" max="9" width="50.83203125" customWidth="1"/>
    <col min="10" max="10" width="10.83203125" customWidth="1"/>
    <col min="11" max="11" width="14.83203125" customWidth="1"/>
    <col min="12" max="12" width="14.83203125" customWidth="1"/>
    <col min="13" max="13" width="8.83203125" customWidth="1"/>
    <col min="14" max="14" width="12.83203125" customWidth="1"/>
    <col min="15" max="15" width="26.83203125" customWidth="1"/>
  </cols>
  <sheetData>
    <row r="1" ht="58.5" customHeight="1" xml:space="preserve">
      <c r="A1" t="str" xml:space="preserve">
        <v xml:space="preserve">Sıra_x000d_
No</v>
      </c>
      <c r="B1" t="str">
        <v>İş Kalemi No</v>
      </c>
      <c r="C1" t="str">
        <v>İş Kaleminin Adı ve Kısa Açıklaması</v>
      </c>
      <c r="D1" t="str">
        <v>Birimi</v>
      </c>
      <c r="E1" t="str">
        <v>Miktarı</v>
      </c>
      <c r="F1" t="str" xml:space="preserve">
        <v xml:space="preserve">Teklif Edilen_x000d_
Birim Fiyat</v>
      </c>
      <c r="G1" t="str">
        <v>Tutarı</v>
      </c>
      <c r="H1" t="str">
        <v>Eşleşen Poz No</v>
      </c>
      <c r="I1" t="str">
        <v>Kitap Açıklaması</v>
      </c>
      <c r="J1" t="str">
        <v>Kitap Birimi</v>
      </c>
      <c r="K1" t="str">
        <v>Kitap Birim Fiyat</v>
      </c>
      <c r="L1" t="str">
        <v>Kitap Montaj Bedeli</v>
      </c>
      <c r="M1" t="str">
        <v>Güven</v>
      </c>
      <c r="N1" t="str">
        <v>Kaynak Kitap</v>
      </c>
      <c r="O1" t="str">
        <v>2. Aday</v>
      </c>
    </row>
    <row r="2" ht="45" customHeight="1" xml:space="preserve">
      <c r="A2" s="1">
        <v>1</v>
      </c>
      <c r="B2" s="1">
        <v>1</v>
      </c>
      <c r="C2" t="str" xml:space="preserve">
        <v xml:space="preserve">Polipropilenden Mamul Mikro_x000d_
Fiber Donatı Liflerinin Temini ve Betona Karıştırılması</v>
      </c>
      <c r="D2" t="str">
        <v>kilogram</v>
      </c>
      <c r="E2" s="2">
        <v>2904.88</v>
      </c>
      <c r="F2" s="2">
        <v>130</v>
      </c>
      <c r="G2" s="2">
        <f>IF(F2="","",E2*F2)</f>
        <v>377634.4</v>
      </c>
      <c r="H2" t="str">
        <v>10.300.4151</v>
      </c>
      <c r="I2" t="str">
        <v>Polipropilen/Polyamidden mamul mikro fiber donatı lifleri</v>
      </c>
      <c r="J2" t="str">
        <v>Kg</v>
      </c>
      <c r="K2" s="2">
        <v>130</v>
      </c>
      <c r="M2" s="1">
        <v>50</v>
      </c>
      <c r="N2" t="str">
        <v>kitap — GÜNCEL FİYAT YOK</v>
      </c>
    </row>
    <row r="3" ht="45" customHeight="1" xml:space="preserve">
      <c r="A3" s="1">
        <v>2</v>
      </c>
      <c r="B3" s="1">
        <v>2</v>
      </c>
      <c r="C3" t="str" xml:space="preserve">
        <v xml:space="preserve">Patlayıcı Madde Kullanmadan_x000d_
Demirli ve Demirsiz Beton_x000d_
İnşaatın Yıkılması</v>
      </c>
      <c r="D3" t="str">
        <v>metreküp</v>
      </c>
      <c r="E3" s="3">
        <v>155.1</v>
      </c>
      <c r="F3" s="2">
        <v>846.11</v>
      </c>
      <c r="G3" s="2">
        <f>IF(F3="","",E3*F3)</f>
        <v>131231.66</v>
      </c>
      <c r="H3" t="str">
        <v>15.106.1004</v>
      </c>
      <c r="I3" t="str">
        <v>Patlayıcı Madde Kullanmadan Demirli ve Demirsiz Beton İnşaatın Yıkılması</v>
      </c>
      <c r="J3" t="str">
        <v/>
      </c>
      <c r="K3" s="2">
        <v>846.11</v>
      </c>
      <c r="M3" s="1">
        <v>94</v>
      </c>
      <c r="N3" t="str">
        <v>inşaat</v>
      </c>
      <c r="O3" t="str">
        <v>15.106.1008 (77)</v>
      </c>
    </row>
    <row r="4" ht="30" customHeight="1">
      <c r="A4" s="1">
        <v>3</v>
      </c>
      <c r="B4" s="1">
        <v>3</v>
      </c>
      <c r="C4" t="str">
        <v>Doğal parke taşı, beton plak, adi kaldırım ve blokaj sökülmesi</v>
      </c>
      <c r="D4" t="str">
        <v>metrekare</v>
      </c>
      <c r="E4" s="4">
        <v>1400</v>
      </c>
      <c r="F4" s="2">
        <v>285.03</v>
      </c>
      <c r="G4" s="2">
        <f>IF(F4="","",E4*F4)</f>
        <v>399042</v>
      </c>
      <c r="H4" t="str">
        <v>15.106.1101</v>
      </c>
      <c r="I4" t="str">
        <v>Doğal parke taşı, beton plak, adi kaldırım ve blokaj sökülmesi</v>
      </c>
      <c r="J4" t="str">
        <v/>
      </c>
      <c r="K4" s="2">
        <v>285.03</v>
      </c>
      <c r="M4" s="1">
        <v>93</v>
      </c>
      <c r="N4" t="str">
        <v>inşaat</v>
      </c>
      <c r="O4" t="str">
        <v>15.435.7001 (27)</v>
      </c>
    </row>
    <row r="5" ht="30" customHeight="1" xml:space="preserve">
      <c r="A5" s="1">
        <v>4</v>
      </c>
      <c r="B5" s="1">
        <v>4</v>
      </c>
      <c r="C5" t="str" xml:space="preserve">
        <v xml:space="preserve">Kırma taş, şose ve asfalt_x000d_
sökülmesi</v>
      </c>
      <c r="D5" t="str">
        <v>metreküp</v>
      </c>
      <c r="E5" s="1">
        <v>150</v>
      </c>
      <c r="F5" s="2">
        <v>1567.58</v>
      </c>
      <c r="G5" s="2">
        <f>IF(F5="","",E5*F5)</f>
        <v>235137</v>
      </c>
      <c r="H5" t="str">
        <v>15.106.1102</v>
      </c>
      <c r="I5" t="str">
        <v>Kırma taş, şose ve asfalt sökülmesi</v>
      </c>
      <c r="J5" t="str">
        <v/>
      </c>
      <c r="K5" s="2">
        <v>1567.58</v>
      </c>
      <c r="M5" s="1">
        <v>91</v>
      </c>
      <c r="N5" t="str">
        <v>inşaat</v>
      </c>
      <c r="O5" t="str">
        <v>10.130.1028 (24)</v>
      </c>
    </row>
    <row r="6" ht="15" customHeight="1">
      <c r="A6" s="1">
        <v>5</v>
      </c>
      <c r="B6" s="1">
        <v>5</v>
      </c>
      <c r="C6" t="str">
        <v>Her türlü bordür sökülmesi</v>
      </c>
      <c r="D6" t="str">
        <v>metre</v>
      </c>
      <c r="E6" s="1">
        <v>350</v>
      </c>
      <c r="F6" s="2">
        <v>71.25</v>
      </c>
      <c r="G6" s="2">
        <f>IF(F6="","",E6*F6)</f>
        <v>24937.5</v>
      </c>
      <c r="H6" t="str">
        <v>15.106.1103</v>
      </c>
      <c r="I6" t="str">
        <v>Her türlü bordür sökülmesi</v>
      </c>
      <c r="J6" t="str">
        <v/>
      </c>
      <c r="K6" s="2">
        <v>71.25</v>
      </c>
      <c r="M6" s="1">
        <v>84</v>
      </c>
      <c r="N6" t="str">
        <v>inşaat</v>
      </c>
      <c r="O6" t="str">
        <v>15.106.1105 (51)</v>
      </c>
    </row>
    <row r="7" ht="15" customHeight="1">
      <c r="A7" s="1">
        <v>6</v>
      </c>
      <c r="B7" s="1">
        <v>6</v>
      </c>
      <c r="C7" t="str">
        <v>Her türlü ahşap dolap sökülmesi</v>
      </c>
      <c r="D7" t="str">
        <v>metrekare</v>
      </c>
      <c r="E7" s="1">
        <v>476</v>
      </c>
      <c r="F7" s="2">
        <v>444.9</v>
      </c>
      <c r="G7" s="2">
        <f>IF(F7="","",E7*F7)</f>
        <v>211772.4</v>
      </c>
      <c r="H7" t="str">
        <v>15.106.1126</v>
      </c>
      <c r="I7" t="str">
        <v>Her türlü ahşap dolap sökülmesi</v>
      </c>
      <c r="J7" t="str">
        <v/>
      </c>
      <c r="K7" s="2">
        <v>444.9</v>
      </c>
      <c r="M7" s="1">
        <v>90</v>
      </c>
      <c r="N7" t="str">
        <v>inşaat</v>
      </c>
      <c r="O7" t="str">
        <v>15.106.1106 (61)</v>
      </c>
    </row>
    <row r="8" ht="75" customHeight="1" xml:space="preserve">
      <c r="A8" s="1">
        <v>7</v>
      </c>
      <c r="B8" s="1">
        <v>7</v>
      </c>
      <c r="C8" t="str" xml:space="preserve">
        <v xml:space="preserve">El ile sert toprak kazılması (kil, siltli, kumlu ve gevşek kil, killi kum ve çakıl, kürekle atılabilen taşlı toprak ve benzeri zeminler)_x000d_
(Nakliye dâhil)</v>
      </c>
      <c r="D8" t="str">
        <v>metreküp</v>
      </c>
      <c r="E8" s="5">
        <v>552.636</v>
      </c>
      <c r="F8" s="2">
        <v>741.04</v>
      </c>
      <c r="G8" s="2">
        <f>IF(F8="","",E8*F8)</f>
        <v>409525.38</v>
      </c>
      <c r="H8" t="str">
        <v>15.115.1002</v>
      </c>
      <c r="I8" t="str">
        <v>El ile sert toprak kazılması (kil, siltli, kumlu ve gevşek kil, killi kum ve çakıl, kürekle atılabilen taşlı toprak ve benzeri zeminler)</v>
      </c>
      <c r="J8" t="str">
        <v/>
      </c>
      <c r="K8" s="2">
        <v>741.04</v>
      </c>
      <c r="M8" s="1">
        <v>87</v>
      </c>
      <c r="N8" t="str">
        <v>inşaat</v>
      </c>
      <c r="O8" t="str">
        <v>15.115.1201 (70)</v>
      </c>
    </row>
    <row r="9" ht="75" customHeight="1" xml:space="preserve">
      <c r="A9" s="1">
        <v>8</v>
      </c>
      <c r="B9" s="1">
        <v>8</v>
      </c>
      <c r="C9" t="str" xml:space="preserve">
        <v xml:space="preserve">Beton santralinde üretilen veya satın alınan ve beton pompasıyla basılan, C 25/30 basınç dayanım sınıfında, gri renkte, normal hazır_x000d_
beton dökülmesi (beton nakli dahil)</v>
      </c>
      <c r="D9" t="str">
        <v>metreküp</v>
      </c>
      <c r="E9" s="6">
        <v>726.22</v>
      </c>
      <c r="F9" s="2">
        <v>3884.44</v>
      </c>
      <c r="G9" s="2">
        <f>IF(F9="","",E9*F9)</f>
        <v>2820958.02</v>
      </c>
      <c r="H9" t="str">
        <v>15.150.1005</v>
      </c>
      <c r="I9" t="str">
        <v>Beton santralinde üretilen veya satın alınan ve beton pompasıyla basılan, C 25/30 basınç dayanım sınıfında, gri renkte, normal hazır beton dökülmesi (beton nakli dahil)</v>
      </c>
      <c r="J9" t="str">
        <v/>
      </c>
      <c r="K9" s="2">
        <v>3884.44</v>
      </c>
      <c r="M9" s="1">
        <v>95</v>
      </c>
      <c r="N9" t="str">
        <v>inşaat</v>
      </c>
      <c r="O9" t="str">
        <v>15.150.1105 (90)</v>
      </c>
    </row>
    <row r="10" ht="90" customHeight="1" xml:space="preserve">
      <c r="A10" s="1">
        <v>9</v>
      </c>
      <c r="B10" s="1">
        <v>9</v>
      </c>
      <c r="C10" t="str" xml:space="preserve">
        <v xml:space="preserve">Beton santralinde üretilen veya satın alınan ve beton pompasıyla basılan, C 30/37 basınç dayanım sınıfında, gri renkte, normal hazır beton dökülmesi (beton nakli_x000d_
dahil)</v>
      </c>
      <c r="D10" t="str">
        <v>metreküp</v>
      </c>
      <c r="E10" s="6">
        <v>279.62</v>
      </c>
      <c r="F10" s="2">
        <v>4021.3</v>
      </c>
      <c r="G10" s="2">
        <f>IF(F10="","",E10*F10)</f>
        <v>1124435.91</v>
      </c>
      <c r="H10" t="str">
        <v>15.150.1006</v>
      </c>
      <c r="I10" t="str">
        <v>Beton santralinde üretilen veya satın alınan ve beton pompasıyla basılan, C 30/37 basınç dayanım sınıfında, gri renkte, normal hazır beton dökülmesi (beton nakli dahil)</v>
      </c>
      <c r="J10" t="str">
        <v/>
      </c>
      <c r="K10" s="2">
        <v>4021.3</v>
      </c>
      <c r="M10" s="1">
        <v>95</v>
      </c>
      <c r="N10" t="str">
        <v>inşaat</v>
      </c>
      <c r="O10" t="str">
        <v>15.150.1106 (90)</v>
      </c>
    </row>
    <row r="11" ht="60" customHeight="1" xml:space="preserve">
      <c r="A11" s="1">
        <v>10</v>
      </c>
      <c r="B11" s="1">
        <v>10</v>
      </c>
      <c r="C11" t="str" xml:space="preserve">
        <v xml:space="preserve">Beton Yol Yüzeyinin Kürlenmesi, Perdahlanması ve Pürüzlendirilmesi (Yüzey Kürleme, Perdahlama ve_x000d_
Pürüzlendirme Makinasıyla)</v>
      </c>
      <c r="D11" t="str">
        <v>metrekare</v>
      </c>
      <c r="E11" s="5">
        <v>726.022</v>
      </c>
      <c r="F11" s="2">
        <v>155.85</v>
      </c>
      <c r="G11" s="2">
        <f>IF(F11="","",E11*F11)</f>
        <v>113150.53</v>
      </c>
      <c r="H11" t="str">
        <v>15.150.5112</v>
      </c>
      <c r="I11" t="str">
        <v>Beton Yol Yüzeyinin Kürlenmesi, Perdahlanması ve Pürüzlendirilmesi (Yüzey Kürleme, Perdahlama ve Pürüzlendirme Makinasıyla)</v>
      </c>
      <c r="J11" t="str">
        <v/>
      </c>
      <c r="K11" s="2">
        <v>155.85</v>
      </c>
      <c r="M11" s="1">
        <v>97</v>
      </c>
      <c r="N11" t="str">
        <v>inşaat</v>
      </c>
      <c r="O11" t="str">
        <v>15.150.5111 (66)</v>
      </c>
    </row>
    <row r="12" ht="45" customHeight="1" xml:space="preserve">
      <c r="A12" s="1">
        <v>11</v>
      </c>
      <c r="B12" s="1">
        <v>11</v>
      </c>
      <c r="C12" t="str" xml:space="preserve">
        <v xml:space="preserve">Nervürlü çelik hasırın yerine konulması 1,500-3,000 kg/m²_x000d_
(3,000 kg/m² dahil)</v>
      </c>
      <c r="D12" t="str">
        <v>ton</v>
      </c>
      <c r="E12" s="5">
        <v>0.255</v>
      </c>
      <c r="F12" s="2">
        <v>48609.31</v>
      </c>
      <c r="G12" s="2">
        <f>IF(F12="","",E12*F12)</f>
        <v>12395.37</v>
      </c>
      <c r="H12" t="str">
        <v>15.160.1001</v>
      </c>
      <c r="I12" t="str">
        <v>Nervürlü çelik hasırın yerine konulması 1,500-3,000 kg/m2 (3,000 kg/m2 dahil)</v>
      </c>
      <c r="J12" t="str">
        <v/>
      </c>
      <c r="K12" s="2">
        <v>48609.31</v>
      </c>
      <c r="M12" s="1">
        <v>76</v>
      </c>
      <c r="N12" t="str">
        <v>inşaat</v>
      </c>
    </row>
    <row r="13" ht="60" customHeight="1" xml:space="preserve">
      <c r="A13" s="1">
        <v>12</v>
      </c>
      <c r="B13" s="1">
        <v>12</v>
      </c>
      <c r="C13" t="str" xml:space="preserve">
        <v xml:space="preserve">Ø 8- Ø 12 mm nervürlü beton çelik çubuğu, çubukların kesilmesi, bükülmesi ve yerine_x000d_
konulması</v>
      </c>
      <c r="D13" t="str">
        <v>ton</v>
      </c>
      <c r="E13" s="3">
        <v>38.5</v>
      </c>
      <c r="F13" s="2">
        <v>50820.86</v>
      </c>
      <c r="G13" s="2">
        <f>IF(F13="","",E13*F13)</f>
        <v>1956603.11</v>
      </c>
      <c r="H13" t="str">
        <v>15.160.1003</v>
      </c>
      <c r="I13" t="str">
        <v>Ø 8 - Ø 12 mm nervürlü beton çelik çubuğu, çubukların kesilmesi, bükülmesi ve yerine konulması</v>
      </c>
      <c r="J13" t="str">
        <v/>
      </c>
      <c r="K13" s="2">
        <v>50820.86</v>
      </c>
      <c r="M13" s="1">
        <v>94</v>
      </c>
      <c r="N13" t="str">
        <v>inşaat</v>
      </c>
      <c r="O13" t="str">
        <v>10.130.1704 (50)</v>
      </c>
    </row>
    <row r="14" ht="30" customHeight="1" xml:space="preserve">
      <c r="A14" s="1">
        <v>13</v>
      </c>
      <c r="B14" s="1">
        <v>13</v>
      </c>
      <c r="C14" t="str" xml:space="preserve">
        <v xml:space="preserve">Ø 14- Ø 28 mm nervürlü beton_x000d_
çelik çubuğu, çubukların</v>
      </c>
      <c r="D14" t="str">
        <v>ton</v>
      </c>
      <c r="E14" s="3">
        <v>29.8</v>
      </c>
      <c r="F14" s="2">
        <v>48800.75</v>
      </c>
      <c r="G14" s="2">
        <f>IF(F14="","",E14*F14)</f>
        <v>1454262.35</v>
      </c>
      <c r="H14" t="str">
        <v>15.160.1004</v>
      </c>
      <c r="I14" t="str">
        <v>Ø 14 - Ø 28 mm nervürlü beton çelik çubuğu, çubukların kesilmesi, bükülmesi ve yerine konulması.</v>
      </c>
      <c r="J14" t="str">
        <v/>
      </c>
      <c r="K14" s="2">
        <v>48800.75</v>
      </c>
      <c r="M14" s="1">
        <v>86</v>
      </c>
      <c r="N14" t="str">
        <v>inşaat</v>
      </c>
      <c r="O14" t="str">
        <v>15.160.1005 (53)</v>
      </c>
    </row>
    <row r="15" ht="30" customHeight="1" xml:space="preserve">
      <c r="C15" t="str" xml:space="preserve">
        <v xml:space="preserve">kesilmesi, bükülmesi ve yerine_x000d_
konulması</v>
      </c>
    </row>
    <row r="16" ht="30" customHeight="1">
      <c r="A16" s="1">
        <v>14</v>
      </c>
      <c r="B16" s="1">
        <v>14</v>
      </c>
      <c r="C16" t="str">
        <v>Ahşaptan düz yüzeyli beton ve betonarme kalıbı yapılması</v>
      </c>
      <c r="D16" t="str">
        <v>metrekare</v>
      </c>
      <c r="E16" s="2">
        <v>1131.58</v>
      </c>
      <c r="F16" s="2">
        <v>970.81</v>
      </c>
      <c r="G16" s="2">
        <f>IF(F16="","",E16*F16)</f>
        <v>1098549.18</v>
      </c>
      <c r="H16" t="str">
        <v>15.180.1002</v>
      </c>
      <c r="I16" t="str">
        <v>Ahşaptan düz yüzeyli beton ve betonarme kalıbı yapılması</v>
      </c>
      <c r="J16" t="str">
        <v/>
      </c>
      <c r="K16" s="2">
        <v>970.81</v>
      </c>
      <c r="M16" s="1">
        <v>94</v>
      </c>
      <c r="N16" t="str">
        <v>inşaat</v>
      </c>
      <c r="O16" t="str">
        <v>15.180.1004 (63)</v>
      </c>
    </row>
    <row r="17" ht="30" customHeight="1" xml:space="preserve">
      <c r="A17" s="1">
        <v>15</v>
      </c>
      <c r="B17" s="1">
        <v>15</v>
      </c>
      <c r="C17" t="str" xml:space="preserve">
        <v xml:space="preserve">Plywood ile düz yüzeyli_x000d_
betonarme kalıbı yapılması</v>
      </c>
      <c r="D17" t="str">
        <v>metrekare</v>
      </c>
      <c r="E17" s="6">
        <v>962.38</v>
      </c>
      <c r="F17" s="2">
        <v>1143.73</v>
      </c>
      <c r="G17" s="2">
        <f>IF(F17="","",E17*F17)</f>
        <v>1100702.88</v>
      </c>
      <c r="H17" t="str">
        <v>15.180.1003</v>
      </c>
      <c r="I17" t="str">
        <v>Plywood ile düz yüzeyli betonarme kalıbı yapılması</v>
      </c>
      <c r="J17" t="str">
        <v/>
      </c>
      <c r="K17" s="2">
        <v>1143.73</v>
      </c>
      <c r="M17" s="1">
        <v>94</v>
      </c>
      <c r="N17" t="str">
        <v>inşaat</v>
      </c>
      <c r="O17" t="str">
        <v>15.180.1002 (62)</v>
      </c>
    </row>
    <row r="18" ht="30" customHeight="1">
      <c r="A18" s="1">
        <v>16</v>
      </c>
      <c r="B18" s="1">
        <v>16</v>
      </c>
      <c r="C18" t="str">
        <v>Sac ile eğri yüzeyli beton ve betonarme kalıbı yapılması</v>
      </c>
      <c r="D18" t="str">
        <v>metrekare</v>
      </c>
      <c r="E18" s="3">
        <v>16.4</v>
      </c>
      <c r="F18" s="2">
        <v>1150.78</v>
      </c>
      <c r="G18" s="2">
        <f>IF(F18="","",E18*F18)</f>
        <v>18872.79</v>
      </c>
      <c r="H18" t="str">
        <v>15.180.1004</v>
      </c>
      <c r="I18" t="str">
        <v>Sac ile eğri yüzeyli beton ve betonarme kalıbı yapılması</v>
      </c>
      <c r="J18" t="str">
        <v/>
      </c>
      <c r="K18" s="2">
        <v>1150.78</v>
      </c>
      <c r="M18" s="1">
        <v>94</v>
      </c>
      <c r="N18" t="str">
        <v>inşaat</v>
      </c>
      <c r="O18" t="str">
        <v>15.180.1002 (63)</v>
      </c>
    </row>
    <row r="19" ht="60" customHeight="1" xml:space="preserve">
      <c r="A19" s="1">
        <v>17</v>
      </c>
      <c r="B19" s="1">
        <v>17</v>
      </c>
      <c r="C19" t="str" xml:space="preserve">
        <v xml:space="preserve">Ön yapımlı bileşenlerden oluşan tam güvenlikli, dış cephe iş iskelesi yapılması. (0,00-51,50 m_x000d_
arası)</v>
      </c>
      <c r="D19" t="str">
        <v>metrekare</v>
      </c>
      <c r="E19" s="2">
        <v>2367.26</v>
      </c>
      <c r="F19" s="2">
        <v>177.46</v>
      </c>
      <c r="G19" s="2">
        <f>IF(F19="","",E19*F19)</f>
        <v>420093.96</v>
      </c>
      <c r="H19" t="str">
        <v>V.0603</v>
      </c>
      <c r="I19" t="str">
        <v>Cephe İş İskelesi Yapılması İşçiliği</v>
      </c>
      <c r="J19" t="str">
        <v>M²</v>
      </c>
      <c r="K19" s="2">
        <v>177.46</v>
      </c>
      <c r="M19" s="1">
        <v>51</v>
      </c>
      <c r="N19" t="str">
        <v>kultur-ve-turizm-bakanligi-2026-birim-fiyatlari — GÜNCEL FİYAT YOK</v>
      </c>
      <c r="O19" t="str">
        <v>V.0615 (37)</v>
      </c>
    </row>
    <row r="20" ht="60" customHeight="1" xml:space="preserve">
      <c r="A20" s="1">
        <v>18</v>
      </c>
      <c r="B20" s="1">
        <v>18</v>
      </c>
      <c r="C20" t="str" xml:space="preserve">
        <v xml:space="preserve">Ön yapımlı bileşenlerden oluşan tam güvenlikli, tavanlar için iş iskelesi yapılması. (0,00-21,50 m_x000d_
arası)</v>
      </c>
      <c r="D20" t="str">
        <v>metreküp</v>
      </c>
      <c r="E20" s="7">
        <v>2218.059</v>
      </c>
      <c r="F20" s="2">
        <v>314.79</v>
      </c>
      <c r="G20" s="2">
        <f>IF(F20="","",E20*F20)</f>
        <v>698222.79</v>
      </c>
      <c r="H20" t="str">
        <v>V.0616/01</v>
      </c>
      <c r="I20" t="str">
        <v>Çelik Borudan Tam Güvenlikli İş İskelesi Yapılması</v>
      </c>
      <c r="J20" t="str">
        <v>M³</v>
      </c>
      <c r="K20" s="2">
        <v>314.79</v>
      </c>
      <c r="M20" s="1">
        <v>44</v>
      </c>
      <c r="N20" t="str">
        <v>kultur-ve-turizm-bakanligi-2026-birim-fiyatlari — GÜNCEL FİYAT YOK</v>
      </c>
      <c r="O20" t="str">
        <v>V.0611 (32)</v>
      </c>
    </row>
    <row r="21" ht="90" customHeight="1" xml:space="preserve">
      <c r="A21" s="1">
        <v>19</v>
      </c>
      <c r="B21" s="1">
        <v>19</v>
      </c>
      <c r="C21" t="str" xml:space="preserve">
        <v xml:space="preserve">10 cm kalınlığındaki taşıyıcı olmayan bimsbeton duvar blokları ile duvar yapılması (bimsbeton tutkalı ile) (min. 1,50_x000d_
N/mm² ve 600-900 kg/m³, 900 kg/m³ hariç)</v>
      </c>
      <c r="D21" t="str">
        <v>metrekare</v>
      </c>
      <c r="E21" s="5">
        <v>271.578</v>
      </c>
      <c r="F21" s="2">
        <v>609.88</v>
      </c>
      <c r="G21" s="2">
        <f>IF(F21="","",E21*F21)</f>
        <v>165629.99</v>
      </c>
      <c r="H21" t="str">
        <v>15.230.1002</v>
      </c>
      <c r="I21" t="str">
        <v>10 cm kalınlığındaki taşıyıcı olmayan bimsbeton duvar blokları ile duvar yapılması (bimsbeton tutkalı ile) (min. 1,50 N/mm² ve 600-900 kg/m³, 900 kg/m³ hariç)</v>
      </c>
      <c r="J21" t="str">
        <v/>
      </c>
      <c r="K21" s="2">
        <v>609.88</v>
      </c>
      <c r="M21" s="1">
        <v>95</v>
      </c>
      <c r="N21" t="str">
        <v>inşaat</v>
      </c>
      <c r="O21" t="str">
        <v>15.230.1007 (80)</v>
      </c>
    </row>
    <row r="22" ht="90" customHeight="1" xml:space="preserve">
      <c r="A22" s="1">
        <v>20</v>
      </c>
      <c r="B22" s="1">
        <v>20</v>
      </c>
      <c r="C22" t="str" xml:space="preserve">
        <v xml:space="preserve">19 cm kalınlığındaki taşıyıcı olmayan bimsbeton duvar blokları ile duvar yapılması (bimsbeton tutkalı ile) (min. 1,50 N/mm² ve 600-900 kg/m³, 900_x000d_
kg/m³ hariç)</v>
      </c>
      <c r="D22" t="str">
        <v>metrekare</v>
      </c>
      <c r="E22" s="7">
        <v>2802.085</v>
      </c>
      <c r="F22" s="2">
        <v>811.5</v>
      </c>
      <c r="G22" s="2">
        <f>IF(F22="","",E22*F22)</f>
        <v>2273891.98</v>
      </c>
      <c r="H22" t="str">
        <v>15.230.1006</v>
      </c>
      <c r="I22" t="str">
        <v>19 cm kalınlığındaki taşıyıcı olmayan bimsbeton duvar blokları ile duvar yapılması (bimsbeton tutkalı ile) (min. 1,50 N/mm² ve 600-900 kg/m³, 900 kg/m³ hariç)</v>
      </c>
      <c r="J22" t="str">
        <v/>
      </c>
      <c r="K22" s="2">
        <v>811.5</v>
      </c>
      <c r="M22" s="1">
        <v>95</v>
      </c>
      <c r="N22" t="str">
        <v>inşaat</v>
      </c>
      <c r="O22" t="str">
        <v>15.230.1002 (80)</v>
      </c>
    </row>
    <row r="23" ht="30" customHeight="1" xml:space="preserve">
      <c r="A23" s="1">
        <v>21</v>
      </c>
      <c r="B23" s="1">
        <v>21</v>
      </c>
      <c r="C23" t="str" xml:space="preserve">
        <v xml:space="preserve">250 gr/m² ağırlıkta geotekstil keçe_x000d_
serilmesi</v>
      </c>
      <c r="D23" t="str">
        <v>metrekare</v>
      </c>
      <c r="E23" s="1">
        <v>479</v>
      </c>
      <c r="F23" s="2">
        <v>64.09</v>
      </c>
      <c r="G23" s="2">
        <f>IF(F23="","",E23*F23)</f>
        <v>30699.11</v>
      </c>
      <c r="H23" t="str">
        <v>15.245.1002</v>
      </c>
      <c r="I23" t="str">
        <v>250 gr/m² ağırlıkta geotekstil keçe serilmesi</v>
      </c>
      <c r="J23" t="str">
        <v/>
      </c>
      <c r="K23" s="2">
        <v>64.09</v>
      </c>
      <c r="M23" s="1">
        <v>97</v>
      </c>
      <c r="N23" t="str">
        <v>inşaat</v>
      </c>
      <c r="O23" t="str">
        <v>10.330.6004 (65)</v>
      </c>
    </row>
    <row r="24" ht="30" customHeight="1">
      <c r="A24" s="1">
        <v>22</v>
      </c>
      <c r="B24" s="1">
        <v>22</v>
      </c>
      <c r="C24" t="str">
        <v>2.5 cm kalınlığında 400 kg çimento dozlu şap yapılması</v>
      </c>
      <c r="D24" t="str">
        <v>metrekare</v>
      </c>
      <c r="E24" s="4">
        <v>7204</v>
      </c>
      <c r="F24" s="2">
        <v>497.69</v>
      </c>
      <c r="G24" s="2">
        <f>IF(F24="","",E24*F24)</f>
        <v>3585358.76</v>
      </c>
      <c r="H24" t="str">
        <v>15.250.1111</v>
      </c>
      <c r="I24" t="str">
        <v>2.5 cm kalınlığında 400 kg çimento dozlu şap yapılması</v>
      </c>
      <c r="J24" t="str">
        <v/>
      </c>
      <c r="K24" s="2">
        <v>497.69</v>
      </c>
      <c r="M24" s="1">
        <v>95</v>
      </c>
      <c r="N24" t="str">
        <v>inşaat</v>
      </c>
      <c r="O24" t="str">
        <v>15.250.1113 (67)</v>
      </c>
    </row>
    <row r="25" ht="60" customHeight="1" xml:space="preserve">
      <c r="A25" s="1">
        <v>23</v>
      </c>
      <c r="B25" s="1">
        <v>23</v>
      </c>
      <c r="C25" t="str" xml:space="preserve">
        <v xml:space="preserve">Çimento esaslı tek bilesenli kristalize su yalıtım harcı ile 3 kat halinde toplam 2 mm kalınlıkta su_x000d_
yalıtımı yapılması</v>
      </c>
      <c r="D25" t="str">
        <v>metrekare</v>
      </c>
      <c r="E25" s="3">
        <v>230.5</v>
      </c>
      <c r="F25" s="2">
        <v>623.55</v>
      </c>
      <c r="G25" s="2">
        <f>IF(F25="","",E25*F25)</f>
        <v>143728.28</v>
      </c>
      <c r="H25" t="str">
        <v>15.270.1011</v>
      </c>
      <c r="I25" t="str">
        <v>Çimento esaslı tek bilesenli kristalize su yalıtım harcı ile 3 kat halinde toplam 2 mm kalınlıkta su yalıtımı yapılması</v>
      </c>
      <c r="J25" t="str">
        <v/>
      </c>
      <c r="K25" s="2">
        <v>623.55</v>
      </c>
      <c r="M25" s="1">
        <v>92</v>
      </c>
      <c r="N25" t="str">
        <v>inşaat</v>
      </c>
      <c r="O25" t="str">
        <v>15.270.1012 (85)</v>
      </c>
    </row>
    <row r="26" ht="45" customHeight="1" xml:space="preserve">
      <c r="A26" s="1">
        <v>24</v>
      </c>
      <c r="B26" s="1">
        <v>24</v>
      </c>
      <c r="C26" t="str" xml:space="preserve">
        <v xml:space="preserve">250/350 kg çimento dozlu kaba_x000d_
ve ince harçla sıva yapılması (dış cephe sıvası) (Nakliye dâhil)</v>
      </c>
      <c r="D26" t="str">
        <v>metrekare</v>
      </c>
      <c r="E26" s="7">
        <v>2614.745</v>
      </c>
      <c r="F26" s="2">
        <v>825.9</v>
      </c>
      <c r="G26" s="2">
        <f>IF(F26="","",E26*F26)</f>
        <v>2159517.9</v>
      </c>
      <c r="H26" t="str">
        <v>15.275.1111</v>
      </c>
      <c r="I26" t="str">
        <v>250/350 kg çimento dozlu kaba ve ince harçla sıva yapılması (dış cephe sıvası)</v>
      </c>
      <c r="J26" t="str">
        <v/>
      </c>
      <c r="K26" s="2">
        <v>825.9</v>
      </c>
      <c r="M26" s="1">
        <v>91</v>
      </c>
      <c r="N26" t="str">
        <v>inşaat</v>
      </c>
      <c r="O26" t="str">
        <v>15.275.1114 (66)</v>
      </c>
    </row>
    <row r="27" ht="60" customHeight="1" xml:space="preserve">
      <c r="A27" s="1">
        <v>25</v>
      </c>
      <c r="B27" s="1">
        <v>25</v>
      </c>
      <c r="C27" t="str" xml:space="preserve">
        <v xml:space="preserve">200/250 kg kireç/çimento karışımı kaba ve ince harçla sıva yapılması (iç cephe sıvası)_x000d_
(Nakliye dâhil)</v>
      </c>
      <c r="D27" t="str">
        <v>metrekare</v>
      </c>
      <c r="E27" s="7">
        <v>1397.583</v>
      </c>
      <c r="F27" s="2">
        <v>734.4</v>
      </c>
      <c r="G27" s="2">
        <f>IF(F27="","",E27*F27)</f>
        <v>1026384.96</v>
      </c>
      <c r="H27" t="str">
        <v>15.275.1112</v>
      </c>
      <c r="I27" t="str">
        <v>200/250 kg kireç/çimento karışımı kaba ve ince harçla sıva yapılması (iç cephe sıvası)</v>
      </c>
      <c r="J27" t="str">
        <v/>
      </c>
      <c r="K27" s="2">
        <v>734.4</v>
      </c>
      <c r="M27" s="1">
        <v>91</v>
      </c>
      <c r="N27" t="str">
        <v>inşaat</v>
      </c>
      <c r="O27" t="str">
        <v>15.275.1113 (52)</v>
      </c>
    </row>
    <row r="28" ht="60" customHeight="1" xml:space="preserve">
      <c r="A28" s="1">
        <v>26</v>
      </c>
      <c r="B28" s="1">
        <v>26</v>
      </c>
      <c r="C28" t="str" xml:space="preserve">
        <v xml:space="preserve">250/350 kg kireç/çimento karışımı kaba ve ince harçla sıva yapılması (tavan sıvası) (Nakliye_x000d_
dâhil)</v>
      </c>
      <c r="D28" t="str">
        <v>metrekare</v>
      </c>
      <c r="E28" s="4">
        <v>3010</v>
      </c>
      <c r="F28" s="2">
        <v>769.85</v>
      </c>
      <c r="G28" s="2">
        <f>IF(F28="","",E28*F28)</f>
        <v>2317248.5</v>
      </c>
      <c r="H28" t="str">
        <v>15.275.1113</v>
      </c>
      <c r="I28" t="str">
        <v>250/350 kg kireç/çimento karışımı kaba ve ince harçla sıva yapılması (tavan sıvası)</v>
      </c>
      <c r="J28" t="str">
        <v/>
      </c>
      <c r="K28" s="2">
        <v>769.85</v>
      </c>
      <c r="M28" s="1">
        <v>91</v>
      </c>
      <c r="N28" t="str">
        <v>inşaat</v>
      </c>
      <c r="O28" t="str">
        <v>15.275.1111 (57)</v>
      </c>
    </row>
    <row r="29" ht="45" customHeight="1" xml:space="preserve">
      <c r="A29" s="1">
        <v>27</v>
      </c>
      <c r="B29" s="1">
        <v>27</v>
      </c>
      <c r="C29" t="str" xml:space="preserve">
        <v xml:space="preserve">250/350 kg çimento dozlu kaba ve ince harçla serpme (çarpma)_x000d_
sıva yapılması (Nakliye dâhil)</v>
      </c>
      <c r="D29" t="str">
        <v>metrekare</v>
      </c>
      <c r="E29" s="5">
        <v>240.478</v>
      </c>
      <c r="F29" s="2">
        <v>573.05</v>
      </c>
      <c r="G29" s="2">
        <f>IF(F29="","",E29*F29)</f>
        <v>137805.92</v>
      </c>
      <c r="H29" t="str">
        <v>15.275.1114</v>
      </c>
      <c r="I29" t="str">
        <v>250/350 kg çimento dozlu kaba ve ince harçla serpme (çarpma) sıva yapılması</v>
      </c>
      <c r="J29" t="str">
        <v/>
      </c>
      <c r="K29" s="2">
        <v>573.05</v>
      </c>
      <c r="M29" s="1">
        <v>91</v>
      </c>
      <c r="N29" t="str">
        <v>inşaat</v>
      </c>
      <c r="O29" t="str">
        <v>15.275.1111 (64)</v>
      </c>
    </row>
    <row r="30" ht="45" customHeight="1" xml:space="preserve">
      <c r="A30" s="1">
        <v>28</v>
      </c>
      <c r="B30" s="1">
        <v>28</v>
      </c>
      <c r="C30" t="str" xml:space="preserve">
        <v xml:space="preserve">250 kg çimento dozlu harç ile_x000d_
kaba sıva yapılması (Nakliye_x000d_
dâhil)</v>
      </c>
      <c r="D30" t="str">
        <v>metrekare</v>
      </c>
      <c r="E30" s="7">
        <v>1135.626</v>
      </c>
      <c r="F30" s="2">
        <v>491.93</v>
      </c>
      <c r="G30" s="2">
        <f>IF(F30="","",E30*F30)</f>
        <v>558648.5</v>
      </c>
      <c r="H30" t="str">
        <v>15.275.1116</v>
      </c>
      <c r="I30" t="str">
        <v>250 kg çimento dozlu harç ile kaba sıva yapılması</v>
      </c>
      <c r="J30" t="str">
        <v/>
      </c>
      <c r="K30" s="2">
        <v>491.93</v>
      </c>
      <c r="M30" s="1">
        <v>87</v>
      </c>
      <c r="N30" t="str">
        <v>inşaat</v>
      </c>
      <c r="O30" t="str">
        <v>15.275.1111 (42)</v>
      </c>
    </row>
    <row r="31" ht="30" customHeight="1">
      <c r="A31" s="1">
        <v>29</v>
      </c>
      <c r="B31" s="1">
        <v>29</v>
      </c>
      <c r="C31" t="str">
        <v>Saten alçı kaplaması yapılması (ortalama 1 mm kalınlık)</v>
      </c>
      <c r="D31" t="str">
        <v>metrekare</v>
      </c>
      <c r="E31" s="4">
        <v>5591</v>
      </c>
      <c r="F31" s="2">
        <v>155.23</v>
      </c>
      <c r="G31" s="2">
        <f>IF(F31="","",E31*F31)</f>
        <v>867890.93</v>
      </c>
      <c r="H31" t="str">
        <v>15.280.1011</v>
      </c>
      <c r="I31" t="str">
        <v>Saten alçı kaplaması yapılması (ortalama 1 mm kalınlık)</v>
      </c>
      <c r="J31" t="str">
        <v/>
      </c>
      <c r="K31" s="2">
        <v>155.23</v>
      </c>
      <c r="M31" s="1">
        <v>90</v>
      </c>
      <c r="N31" t="str">
        <v>inşaat</v>
      </c>
      <c r="O31" t="str">
        <v>15.280.1009 (23)</v>
      </c>
    </row>
    <row r="32" ht="60" customHeight="1" xml:space="preserve">
      <c r="A32" s="1">
        <v>30</v>
      </c>
      <c r="B32" s="1">
        <v>30</v>
      </c>
      <c r="C32" t="str" xml:space="preserve">
        <v xml:space="preserve">Makina alçısı ile duvarlara 20 mm kalınlığında tek kat alçı sıva yapılması (Beton, tuğla vb._x000d_
yüzeylere)</v>
      </c>
      <c r="D32" t="str">
        <v>metrekare</v>
      </c>
      <c r="E32" s="4">
        <v>4150</v>
      </c>
      <c r="F32" s="2">
        <v>559.93</v>
      </c>
      <c r="G32" s="2">
        <f>IF(F32="","",E32*F32)</f>
        <v>2323709.5</v>
      </c>
      <c r="H32" t="str">
        <v>15.280.1013</v>
      </c>
      <c r="I32" t="str">
        <v>Makina alçısı ile duvarlara 20 mm kalınlığında tek kat alçı sıva yapılması (Beton, tuğla vb. yüzeylere)</v>
      </c>
      <c r="J32" t="str">
        <v/>
      </c>
      <c r="K32" s="2">
        <v>559.93</v>
      </c>
      <c r="M32" s="1">
        <v>94</v>
      </c>
      <c r="N32" t="str">
        <v>inşaat</v>
      </c>
      <c r="O32" t="str">
        <v>15.280.1009 (41)</v>
      </c>
    </row>
    <row r="33" ht="105" customHeight="1" xml:space="preserve">
      <c r="A33" s="1">
        <v>31</v>
      </c>
      <c r="B33" s="1">
        <v>31</v>
      </c>
      <c r="C33" t="str" xml:space="preserve">
        <v xml:space="preserve">Çatı arasına döşeme üzerine uygulamalar için, 0,035 &lt; Isıl iletkenliği &lt; 0,040W/(m.K) olan, 8 cm kalınlıkta bir yüzü cam tülü kaplamalı camyünü şilte ve üzerine su buharı geçişine açık su_x000d_
yalıtım örtüsü serilmesi</v>
      </c>
      <c r="D33" t="str">
        <v>metrekare</v>
      </c>
      <c r="E33" s="7">
        <v>2077.895</v>
      </c>
      <c r="F33" s="2">
        <v>434.61</v>
      </c>
      <c r="G33" s="2">
        <f>IF(F33="","",E33*F33)</f>
        <v>903073.95</v>
      </c>
      <c r="H33" t="str">
        <v>15.341.4003</v>
      </c>
      <c r="I33" t="str">
        <v>Çatı arasına döşeme üzerine uygulamalar için, 0,035 ≤ Isıl iletkenliği &lt; 0,040W/(m.K) olan, 8 cm kalınlıkta bir yüzü cam tülü kaplamalı camyünü şilte ve üzerine su buharı geçişine açık su yalıtım örtüsü serilmesi</v>
      </c>
      <c r="J33" t="str">
        <v/>
      </c>
      <c r="K33" s="2">
        <v>434.61</v>
      </c>
      <c r="M33" s="1">
        <v>95</v>
      </c>
      <c r="N33" t="str">
        <v>inşaat</v>
      </c>
      <c r="O33" t="str">
        <v>15.341.4001 (83)</v>
      </c>
    </row>
    <row r="34" ht="90" customHeight="1" xml:space="preserve">
      <c r="A34" s="1">
        <v>32</v>
      </c>
      <c r="B34" s="1">
        <v>32</v>
      </c>
      <c r="C34" t="str" xml:space="preserve">
        <v xml:space="preserve">6 cm kalınlıkta camyünü levhalar ile bölme duvar, yükseltilmiş döşeme, asma tavan vb. diğer detaylarda ısı ve ses yalıtımı yapmak (Ses yutma katsayısı_x000d_
(ortalama) &gt; 0,80 olan)</v>
      </c>
      <c r="D34" t="str">
        <v>metrekare</v>
      </c>
      <c r="E34" s="3">
        <v>376.9</v>
      </c>
      <c r="F34" s="2">
        <v>450</v>
      </c>
      <c r="G34" s="2">
        <f>IF(F34="","",E34*F34)</f>
        <v>169605</v>
      </c>
      <c r="H34" t="str">
        <v>15.341.4041</v>
      </c>
      <c r="I34" t="str">
        <v>6 cm kalınlıkta camyünü levhalar ile bölme duvar, yükseltilmiş döşeme, asma tavan vb. diğer detaylarda ısı ve ses yalıtımı yapılması (Ses yutma katsayısı (ortalama) ≥ 0,80 olan)</v>
      </c>
      <c r="J34" t="str">
        <v/>
      </c>
      <c r="K34" s="2">
        <v>450</v>
      </c>
      <c r="M34" s="1">
        <v>91</v>
      </c>
      <c r="N34" t="str">
        <v>inşaat</v>
      </c>
      <c r="O34" t="str">
        <v>15.341.4021 (68)</v>
      </c>
    </row>
    <row r="35" ht="105" customHeight="1" xml:space="preserve">
      <c r="A35" s="1">
        <v>33</v>
      </c>
      <c r="B35" s="1">
        <v>33</v>
      </c>
      <c r="C35" t="str" xml:space="preserve">
        <v xml:space="preserve">Çimento esaslı kendiliğinden yerleşen (self leveling) harç ile ortalama 2 mm kalınlıkta zemin tesviyesi yapılması ve üzerine 2mm kalınlıkda PVC esaslı yer döseme kaplaması yapılması_x000d_
(homojen - Grup T - 04.443/A2C)</v>
      </c>
      <c r="D35" t="str">
        <v>metrekare</v>
      </c>
      <c r="E35" s="1">
        <v>491</v>
      </c>
      <c r="F35" s="2">
        <v>1397.2</v>
      </c>
      <c r="G35" s="2">
        <f>IF(F35="","",E35*F35)</f>
        <v>686025.2</v>
      </c>
      <c r="H35" t="str">
        <v>15.365.1008</v>
      </c>
      <c r="I35" t="str">
        <v>Çimento esaslı kendiliğinden yerleşen (self leveling) harç ile ortalama 2 mm kalınlıkta zemin tesviyesi yapılması ve üzerine 2mm kalınlıkda PVC esaslı yer döşeme kaplaması yapılması (homojen - Grup T)</v>
      </c>
      <c r="J35" t="str">
        <v/>
      </c>
      <c r="K35" s="2">
        <v>1397.2</v>
      </c>
      <c r="M35" s="1">
        <v>59</v>
      </c>
      <c r="N35" t="str">
        <v>inşaat</v>
      </c>
      <c r="O35" t="str">
        <v>15.365.1028 (56)</v>
      </c>
    </row>
    <row r="36" ht="105" customHeight="1" xml:space="preserve">
      <c r="A36" s="1">
        <v>34</v>
      </c>
      <c r="B36" s="1">
        <v>34</v>
      </c>
      <c r="C36" t="str" xml:space="preserve">
        <v xml:space="preserve">(20x60 cm) veya (30x60 cm) veya (33x60 cm) anma ebatlarında, her türlü desen ve yüzey özelliğinde, I.kalite, renkli seramik duvar karoları ile 3 mm derz aralıklı duvar kaplaması_x000d_
yapılması (karo yapıştırıcısı ile)</v>
      </c>
      <c r="D36" t="str">
        <v>metrekare</v>
      </c>
      <c r="E36" s="3">
        <v>12.9</v>
      </c>
      <c r="F36" s="2">
        <v>941.61</v>
      </c>
      <c r="G36" s="2">
        <f>IF(F36="","",E36*F36)</f>
        <v>12146.77</v>
      </c>
      <c r="H36" t="str">
        <v>15.380.1056</v>
      </c>
      <c r="I36" t="str">
        <v>(20 x 60 cm) veya (30 x 60 cm) veya (33 x 60 cm) anma ebatlarında, her türlü desen ve yüzey özelliğinde, I.kalite, renkli seramik duvar karoları ile 3 mm derz aralıklı duvar kaplaması yapılması (karo yapıştırıcısı ile)</v>
      </c>
      <c r="J36" t="str">
        <v/>
      </c>
      <c r="K36" s="2">
        <v>941.61</v>
      </c>
      <c r="M36" s="1">
        <v>96</v>
      </c>
      <c r="N36" t="str">
        <v>inşaat</v>
      </c>
      <c r="O36" t="str">
        <v>15.380.1006 (91)</v>
      </c>
    </row>
    <row r="37" ht="90" customHeight="1" xml:space="preserve">
      <c r="A37" s="1">
        <v>35</v>
      </c>
      <c r="B37" s="1">
        <v>35</v>
      </c>
      <c r="C37" t="str" xml:space="preserve">
        <v xml:space="preserve">60x60 cm anma ebatlarında, her türlü desen ve yüzey özelliğinde, I.kalite, renkli, sırlı porselen karo ile 3 mm derz aralıklı döşeme kaplaması yapılması (karo_x000d_
yapıştırıcısı ile)</v>
      </c>
      <c r="D37" t="str">
        <v>metrekare</v>
      </c>
      <c r="E37" s="1">
        <v>421</v>
      </c>
      <c r="F37" s="2">
        <v>1015.4</v>
      </c>
      <c r="G37" s="2">
        <f>IF(F37="","",E37*F37)</f>
        <v>427483.4</v>
      </c>
      <c r="H37" t="str">
        <v>15.385.1028</v>
      </c>
      <c r="I37" t="str">
        <v>(60 x 60 cm) anma ebatlarında, her türlü desen ve yüzey özelliğinde, I.kalite, renkli, sırlı porselen karo ile 3 mm derz aralıklı döşeme kaplaması yapılması (karo yapıştırıcısı ile)</v>
      </c>
      <c r="J37" t="str">
        <v/>
      </c>
      <c r="K37" s="2">
        <v>1015.4</v>
      </c>
      <c r="M37" s="1">
        <v>95</v>
      </c>
      <c r="N37" t="str">
        <v>inşaat</v>
      </c>
      <c r="O37" t="str">
        <v>15.385.1030 (92)</v>
      </c>
    </row>
    <row r="38" ht="75" customHeight="1" xml:space="preserve">
      <c r="A38" s="1">
        <v>36</v>
      </c>
      <c r="B38" s="1">
        <v>36</v>
      </c>
      <c r="C38" t="str" xml:space="preserve">
        <v xml:space="preserve">2 cm kalınlığında renkli mermer levha ile döşeme kaplaması yapılması (2 cm x 30-40-50 cm x serbest boy) (honlu veya cilalı)_x000d_
(Nakliye dâhil)</v>
      </c>
      <c r="D38" t="str">
        <v>metrekare</v>
      </c>
      <c r="E38" s="6">
        <v>113.65</v>
      </c>
      <c r="F38" s="2">
        <v>2574.84</v>
      </c>
      <c r="G38" s="2">
        <f>IF(F38="","",E38*F38)</f>
        <v>292630.57</v>
      </c>
      <c r="H38" t="str">
        <v>15.410.1111</v>
      </c>
      <c r="I38" t="str">
        <v>2 cm kalınlığında renkli mermer levha ile döşeme kaplaması yapılması (2 cm x 30-40-50 cm x serbest boy) (honlu veya cilalı)</v>
      </c>
      <c r="J38" t="str">
        <v/>
      </c>
      <c r="K38" s="2">
        <v>2574.84</v>
      </c>
      <c r="M38" s="1">
        <v>91</v>
      </c>
      <c r="N38" t="str">
        <v>inşaat</v>
      </c>
      <c r="O38" t="str">
        <v>15.410.1213 (84)</v>
      </c>
    </row>
    <row r="39" ht="75" customHeight="1" xml:space="preserve">
      <c r="A39" s="1">
        <v>37</v>
      </c>
      <c r="B39" s="1">
        <v>37</v>
      </c>
      <c r="C39" t="str" xml:space="preserve">
        <v xml:space="preserve">Renkli mermer levha ile merdiven basamağı kaplaması yapılması (basamak 3 cm, rıht 2 cm kalınlığında) (honlu veya cilalı)_x000d_
(Nakliye dâhil)</v>
      </c>
      <c r="D39" t="str">
        <v>metre</v>
      </c>
      <c r="E39" s="3">
        <v>295.7</v>
      </c>
      <c r="F39" s="2">
        <v>1621.98</v>
      </c>
      <c r="G39" s="2">
        <f>IF(F39="","",E39*F39)</f>
        <v>479619.49</v>
      </c>
      <c r="H39" t="str">
        <v>15.410.1313</v>
      </c>
      <c r="I39" t="str">
        <v>Renkli mermer levha ile merdiven basamağı kaplaması yapılması (basamak 3 cm, rıht 2 cm kalınlığında) (honlu veya cilalı)</v>
      </c>
      <c r="J39" t="str">
        <v/>
      </c>
      <c r="K39" s="2">
        <v>1621.98</v>
      </c>
      <c r="M39" s="1">
        <v>91</v>
      </c>
      <c r="N39" t="str">
        <v>inşaat</v>
      </c>
      <c r="O39" t="str">
        <v>15.410.1311 (85)</v>
      </c>
    </row>
    <row r="40" ht="60" customHeight="1" xml:space="preserve">
      <c r="A40" s="1">
        <v>38</v>
      </c>
      <c r="B40" s="1">
        <v>38</v>
      </c>
      <c r="C40" t="str" xml:space="preserve">
        <v xml:space="preserve">3 cm kalınlığında renkli mermer levha ile dış denizlik yapılması (3 cm x 30-40-50 cm x serbest boy)_x000d_
(honlu veya cilalı) (Nakliye dâhil)</v>
      </c>
      <c r="D40" t="str">
        <v>metrekare</v>
      </c>
      <c r="E40" s="5">
        <v>115.275</v>
      </c>
      <c r="F40" s="2">
        <v>4279.91</v>
      </c>
      <c r="G40" s="2">
        <f>IF(F40="","",E40*F40)</f>
        <v>493366.63</v>
      </c>
      <c r="H40" t="str">
        <v>15.410.1413</v>
      </c>
      <c r="I40" t="str">
        <v>3 cm kalınlığında renkli mermer levha ile dış denizlik yapılması (3 cm x 30-40-50 cm x serbest boy) (honlu veya cilalı)</v>
      </c>
      <c r="J40" t="str">
        <v/>
      </c>
      <c r="K40" s="2">
        <v>4279.91</v>
      </c>
      <c r="M40" s="1">
        <v>91</v>
      </c>
      <c r="N40" t="str">
        <v>inşaat</v>
      </c>
      <c r="O40" t="str">
        <v>15.410.1411 (83)</v>
      </c>
    </row>
    <row r="41" ht="75" customHeight="1" xml:space="preserve">
      <c r="A41" s="1">
        <v>39</v>
      </c>
      <c r="B41" s="1">
        <v>39</v>
      </c>
      <c r="C41" t="str" xml:space="preserve">
        <v xml:space="preserve">3 cm kalınlığında açık renkli traverten levha ile döşeme kaplaması yapılması (3 cm x 30- 40-50 cm x serbest boy) (honlu_x000d_
veya cilalı) (Nakliye dâhil)</v>
      </c>
      <c r="D41" t="str">
        <v>metrekare</v>
      </c>
      <c r="E41" s="6">
        <v>57.14</v>
      </c>
      <c r="F41" s="2">
        <v>2836.93</v>
      </c>
      <c r="G41" s="2">
        <f>IF(F41="","",E41*F41)</f>
        <v>162102.18</v>
      </c>
      <c r="H41" t="str">
        <v>15.415.1013</v>
      </c>
      <c r="I41" t="str">
        <v>3 cm kalınlığında açık renkli traverten levha ile döşeme kaplaması yapılması (3 cm x 30-40-50 cm x serbest boy) (honlu veya cilalı)</v>
      </c>
      <c r="J41" t="str">
        <v/>
      </c>
      <c r="K41" s="2">
        <v>2836.93</v>
      </c>
      <c r="M41" s="1">
        <v>92</v>
      </c>
      <c r="N41" t="str">
        <v>inşaat</v>
      </c>
      <c r="O41" t="str">
        <v>15.415.1113 (84)</v>
      </c>
    </row>
    <row r="42" ht="90" customHeight="1" xml:space="preserve">
      <c r="A42" s="1">
        <v>40</v>
      </c>
      <c r="B42" s="1">
        <v>40</v>
      </c>
      <c r="C42" t="str" xml:space="preserve">
        <v xml:space="preserve">4 cm kalınlığında açık renkli traverten levha ile döşeme kaplaması yapılması (4 cm x 30- 40-50 cm x serbest boy) (honlu ve cilalı hariç her türlü yüzey_x000d_
işlemli)</v>
      </c>
      <c r="D42" t="str">
        <v>metrekare</v>
      </c>
      <c r="E42" s="8">
        <v>1272.6</v>
      </c>
      <c r="F42" s="2">
        <v>3209.68</v>
      </c>
      <c r="G42" s="2">
        <f>IF(F42="","",E42*F42)</f>
        <v>4084638.77</v>
      </c>
      <c r="H42" t="str">
        <v>15.415.1016</v>
      </c>
      <c r="I42" t="str">
        <v>4 cm kalınlığında açık renkli traverten levha ile döşeme kaplaması yapılması (4 cm x 30-40-50 cm x serbest boy) (honlu ve cilalı hariç her türlü yüzey işlemli)</v>
      </c>
      <c r="J42" t="str">
        <v/>
      </c>
      <c r="K42" s="2">
        <v>3209.68</v>
      </c>
      <c r="M42" s="1">
        <v>97</v>
      </c>
      <c r="N42" t="str">
        <v>inşaat</v>
      </c>
      <c r="O42" t="str">
        <v>15.415.1116 (91)</v>
      </c>
    </row>
    <row r="43" ht="75" customHeight="1" xml:space="preserve">
      <c r="A43" s="1">
        <v>41</v>
      </c>
      <c r="B43" s="1">
        <v>41</v>
      </c>
      <c r="C43" t="str" xml:space="preserve">
        <v xml:space="preserve">4 cm kalınlığında koyu renkli traverten levha ile döşeme kaplaması yapılması (4 cm x 30- 40-50 cm x serbest boy) (honlu_x000d_
veya cilalı)</v>
      </c>
      <c r="D43" t="str">
        <v>metrekare</v>
      </c>
      <c r="E43" s="4">
        <v>2200</v>
      </c>
      <c r="F43" s="2">
        <v>2731.9</v>
      </c>
      <c r="G43" s="2">
        <f>IF(F43="","",E43*F43)</f>
        <v>6010180</v>
      </c>
      <c r="H43" t="str">
        <v>15.415.1115</v>
      </c>
      <c r="I43" t="str">
        <v>4 cm kalınlığında koyu renkli traverten levha ile döşeme kaplaması yapılması (4 cm x 30-40-50 cm x serbest boy) (honlu veya cilalı)</v>
      </c>
      <c r="J43" t="str">
        <v/>
      </c>
      <c r="K43" s="2">
        <v>2731.9</v>
      </c>
      <c r="M43" s="1">
        <v>97</v>
      </c>
      <c r="N43" t="str">
        <v>inşaat</v>
      </c>
      <c r="O43" t="str">
        <v>15.415.1116 (90)</v>
      </c>
    </row>
    <row r="44" ht="75" customHeight="1" xml:space="preserve">
      <c r="A44" s="1">
        <v>42</v>
      </c>
      <c r="B44" s="1">
        <v>42</v>
      </c>
      <c r="C44" t="str" xml:space="preserve">
        <v xml:space="preserve">Açık renkli traverten levha ile merdiven basamağı kaplaması yapılması (basamak 3 cm, rıht 2_x000d_
cm kalınlığında) (honlu veya cilalı) (Nakliye dâhil)</v>
      </c>
      <c r="D44" t="str">
        <v>metre</v>
      </c>
      <c r="E44" s="3">
        <v>174.1</v>
      </c>
      <c r="F44" s="2">
        <v>1660.34</v>
      </c>
      <c r="G44" s="2">
        <f>IF(F44="","",E44*F44)</f>
        <v>289065.19</v>
      </c>
      <c r="H44" t="str">
        <v>15.415.1311</v>
      </c>
      <c r="I44" t="str">
        <v>Açık renkli traverten levha ile merdiven basamağı kaplaması yapılması (basamak 3 cm, rıht 2 cm kalınlığında) (honlu veya cilalı)</v>
      </c>
      <c r="J44" t="str">
        <v/>
      </c>
      <c r="K44" s="2">
        <v>1660.34</v>
      </c>
      <c r="M44" s="1">
        <v>92</v>
      </c>
      <c r="N44" t="str">
        <v>inşaat</v>
      </c>
      <c r="O44" t="str">
        <v>15.415.1313 (86)</v>
      </c>
    </row>
    <row r="45" ht="75" customHeight="1" xml:space="preserve">
      <c r="A45" s="1">
        <v>43</v>
      </c>
      <c r="B45" s="1">
        <v>43</v>
      </c>
      <c r="C45" t="str" xml:space="preserve">
        <v xml:space="preserve">Açık renkli traverten levha ile merdiven basamağı kaplaması yapılması (basamak 3 cm, rıht 2 cm kalınlığında) (honlu ve cilalı_x000d_
hariç her türlü yüzey işlemli)</v>
      </c>
      <c r="D45" t="str">
        <v>metre</v>
      </c>
      <c r="E45" s="6">
        <v>506.99</v>
      </c>
      <c r="F45" s="2">
        <v>1776.39</v>
      </c>
      <c r="G45" s="2">
        <f>IF(F45="","",E45*F45)</f>
        <v>900611.97</v>
      </c>
      <c r="H45" t="str">
        <v>15.415.1312</v>
      </c>
      <c r="I45" t="str">
        <v>Açık renkli traverten levha ile merdiven basamağı kaplaması yapılması (basamak 3 cm, rıht 2 cm kalınlığında) (honlu ve cilalı hariç her türlü yüzey işlemli)</v>
      </c>
      <c r="J45" t="str">
        <v/>
      </c>
      <c r="K45" s="2">
        <v>1776.39</v>
      </c>
      <c r="M45" s="1">
        <v>97</v>
      </c>
      <c r="N45" t="str">
        <v>inşaat</v>
      </c>
      <c r="O45" t="str">
        <v>15.415.1314 (92)</v>
      </c>
    </row>
    <row r="46" ht="45" customHeight="1" xml:space="preserve">
      <c r="A46" s="1">
        <v>44</v>
      </c>
      <c r="B46" s="1">
        <v>44</v>
      </c>
      <c r="C46" t="str" xml:space="preserve">
        <v xml:space="preserve">10x20x50 cm boyutlarında_x000d_
andezit bordür temini ve yerine_x000d_
döşenmesi</v>
      </c>
      <c r="D46" t="str">
        <v>metre</v>
      </c>
      <c r="E46" s="3">
        <v>544.5</v>
      </c>
      <c r="F46" s="2">
        <v>877.15</v>
      </c>
      <c r="G46" s="2">
        <f>IF(F46="","",E46*F46)</f>
        <v>477608.18</v>
      </c>
      <c r="H46" t="str">
        <v>15.435.1216</v>
      </c>
      <c r="I46" t="str">
        <v>10x20x50 cm boyutlarında andezit bordür temini ve yerine döşenmesi</v>
      </c>
      <c r="J46" t="str">
        <v/>
      </c>
      <c r="K46" s="2">
        <v>877.15</v>
      </c>
      <c r="M46" s="1">
        <v>97</v>
      </c>
      <c r="N46" t="str">
        <v>inşaat</v>
      </c>
      <c r="O46" t="str">
        <v>15.435.1215 (68)</v>
      </c>
    </row>
    <row r="47" ht="30" customHeight="1">
      <c r="A47" s="1">
        <v>45</v>
      </c>
      <c r="B47" s="1">
        <v>45</v>
      </c>
      <c r="C47" t="str">
        <v>Ahşaptan süpürgelik yapılması ve yerine konulması</v>
      </c>
      <c r="D47" t="str">
        <v>metre</v>
      </c>
      <c r="E47" s="6">
        <v>30.25</v>
      </c>
      <c r="F47" s="2">
        <v>157.58</v>
      </c>
      <c r="G47" s="2">
        <f>IF(F47="","",E47*F47)</f>
        <v>4766.8</v>
      </c>
      <c r="H47" t="str">
        <v>15.495.1001</v>
      </c>
      <c r="I47" t="str">
        <v>Ahşaptan süpürgelik yapılması ve yerine konulması</v>
      </c>
      <c r="J47" t="str">
        <v/>
      </c>
      <c r="K47" s="2">
        <v>157.58</v>
      </c>
      <c r="M47" s="1">
        <v>97</v>
      </c>
      <c r="N47" t="str">
        <v>inşaat</v>
      </c>
      <c r="O47" t="str">
        <v>15.515.1101 (32)</v>
      </c>
    </row>
    <row r="48" ht="120" customHeight="1" xml:space="preserve">
      <c r="A48" s="1">
        <v>46</v>
      </c>
      <c r="B48" s="1">
        <v>46</v>
      </c>
      <c r="C48" t="str" xml:space="preserve">
        <v xml:space="preserve">Alçı levhalar ile çift iskeletli askı sistemli asma tavan yapılması (Askı çubuğu mesafesi aynı yönde 750 mm, ana taşıyıcı profil mesafesi 800 mm, tali taşıyıcı profil mesafesi 500 mm aks_x000d_
aralıkları ile)(12,5 mm çift kat su emme oranı azaltılmış, yangına d</v>
      </c>
      <c r="D48" t="str">
        <v>metrekare</v>
      </c>
      <c r="E48" s="4">
        <v>1441</v>
      </c>
      <c r="F48" s="2">
        <v>1718.06</v>
      </c>
      <c r="G48" s="2">
        <f>IF(F48="","",E48*F48)</f>
        <v>2475724.46</v>
      </c>
      <c r="H48" t="str">
        <v>15.530.1933</v>
      </c>
      <c r="I48" t="str">
        <v>Alçı levhalar ile çift iskeletli askı sistemli asma tavan yapılması (Askı çubuğu mesafesi aynı yönde 750 mm, ana taşıyıcı profil mesafesi 800 mm, tali taşıyıcı profil mesafesi 500 mm aks aralıkları ile)(12,5 mm çift kat su emme oranı azaltılmış, yangına dayanımı artırılmış alçı levha ile)</v>
      </c>
      <c r="J48" t="str">
        <v/>
      </c>
      <c r="K48" s="2">
        <v>1718.06</v>
      </c>
      <c r="M48" s="1">
        <v>94</v>
      </c>
      <c r="N48" t="str">
        <v>inşaat</v>
      </c>
      <c r="O48" t="str">
        <v>15.530.1929 (93)</v>
      </c>
    </row>
    <row r="49" ht="30" customHeight="1">
      <c r="A49" s="1">
        <v>47</v>
      </c>
      <c r="B49" s="1">
        <v>47</v>
      </c>
      <c r="C49" t="str">
        <v>Demir yüzeylere korozyona karşı iki kat antipas boya yapılması</v>
      </c>
      <c r="D49" t="str">
        <v>metrekare</v>
      </c>
      <c r="E49" s="1">
        <v>500</v>
      </c>
      <c r="F49" s="2">
        <v>298.49</v>
      </c>
      <c r="G49" s="2">
        <f>IF(F49="","",E49*F49)</f>
        <v>149245</v>
      </c>
      <c r="H49" t="str">
        <v>15.540.1111</v>
      </c>
      <c r="I49" t="str">
        <v>Demir yüzeylere korozyona karşı iki kat antipas boya yapılması</v>
      </c>
      <c r="J49" t="str">
        <v/>
      </c>
      <c r="K49" s="2">
        <v>298.49</v>
      </c>
      <c r="M49" s="1">
        <v>93</v>
      </c>
      <c r="N49" t="str">
        <v>inşaat</v>
      </c>
      <c r="O49" t="str">
        <v>15.540.1122 (52)</v>
      </c>
    </row>
    <row r="50" ht="90" customHeight="1" xml:space="preserve">
      <c r="A50" s="1">
        <v>48</v>
      </c>
      <c r="B50" s="1">
        <v>48</v>
      </c>
      <c r="C50" t="str" xml:space="preserve">
        <v xml:space="preserve">Yeni sıva yüzeylere macun ve astar uygulanarak iki kat Su bazlı Silikonlu İpek Mat İç Cephe Boyası (Örtücülük Sınıf:2 YOD:Sınıf 1 Parlaklık:G2)_x000d_
yapılması (iç cephe)</v>
      </c>
      <c r="D50" t="str">
        <v>metrekare</v>
      </c>
      <c r="E50" s="7">
        <v>6585.833</v>
      </c>
      <c r="F50" s="2">
        <v>200</v>
      </c>
      <c r="G50" s="2">
        <f>IF(F50="","",E50*F50)</f>
        <v>1317166.6</v>
      </c>
      <c r="H50" t="str">
        <v>10.250.1003</v>
      </c>
      <c r="I50" t="str">
        <v>Su bazlı Silikonlu İpek Mat İç Cephe Boyası (Örtücülük Sınıf:2 YOD:Sınıf 1 Parlaklık:G2)</v>
      </c>
      <c r="J50" t="str">
        <v>lt</v>
      </c>
      <c r="K50" s="2">
        <v>200</v>
      </c>
      <c r="M50" s="1">
        <v>86</v>
      </c>
      <c r="N50" t="str">
        <v>kitap — GÜNCEL FİYAT YOK</v>
      </c>
      <c r="O50" t="str">
        <v>15.540.1526 (85)</v>
      </c>
    </row>
    <row r="51" ht="75" customHeight="1" xml:space="preserve">
      <c r="A51" s="1">
        <v>49</v>
      </c>
      <c r="B51" s="1">
        <v>49</v>
      </c>
      <c r="C51" t="str" xml:space="preserve">
        <v xml:space="preserve">Brüt beton, sıvalı veya eski boyalı yüzeylere, astar uygulanarak Silikon esaslı su bazlı Dış Cephe_x000d_
Boyası (V1:W3:G3) yapılması (dış cephe)</v>
      </c>
      <c r="D51" t="str">
        <v>metrekare</v>
      </c>
      <c r="E51" s="5">
        <v>777.328</v>
      </c>
      <c r="F51" s="2">
        <v>430.61</v>
      </c>
      <c r="G51" s="2">
        <f>IF(F51="","",E51*F51)</f>
        <v>334725.21</v>
      </c>
      <c r="H51" t="str">
        <v>15.540.1605</v>
      </c>
      <c r="I51" t="str">
        <v>Brüt beton, sıvalı veya eski boyalı yüzeylere, astar uygulanarak Silikon esaslı su bazlı Dış Cephe Boyası (V1:W3:G3) yapılması (dış cephe)</v>
      </c>
      <c r="J51" t="str">
        <v/>
      </c>
      <c r="K51" s="2">
        <v>430.61</v>
      </c>
      <c r="M51" s="1">
        <v>97</v>
      </c>
      <c r="N51" t="str">
        <v>inşaat</v>
      </c>
      <c r="O51" t="str">
        <v>10.250.1028 (83)</v>
      </c>
    </row>
    <row r="52" ht="15" customHeight="1">
      <c r="A52" s="1">
        <v>50</v>
      </c>
      <c r="B52" s="1">
        <v>50</v>
      </c>
      <c r="C52" t="str">
        <v>Lama ve profil demirlerden çeşitli</v>
      </c>
      <c r="D52" t="str">
        <v>kilogram</v>
      </c>
      <c r="E52" s="4">
        <v>2000</v>
      </c>
      <c r="F52" s="2">
        <v>194.56</v>
      </c>
      <c r="G52" s="2">
        <f>IF(F52="","",E52*F52)</f>
        <v>389120</v>
      </c>
      <c r="H52" t="str">
        <v>15.550.1202</v>
      </c>
      <c r="I52" t="str">
        <v>Lama ve profil demirlerden çeşitli demir işleri yapılması ve yerine konulması</v>
      </c>
      <c r="J52" t="str">
        <v/>
      </c>
      <c r="K52" s="2">
        <v>194.56</v>
      </c>
      <c r="M52" s="1">
        <v>88</v>
      </c>
      <c r="N52" t="str">
        <v>inşaat</v>
      </c>
      <c r="O52" t="str">
        <v>15.550.1201 (21)</v>
      </c>
    </row>
    <row r="53" ht="30" customHeight="1">
      <c r="C53" t="str">
        <v>demir işleri yapılması ve yerine konulması</v>
      </c>
    </row>
    <row r="54" ht="60" customHeight="1" xml:space="preserve">
      <c r="A54" s="1">
        <v>51</v>
      </c>
      <c r="B54" s="1">
        <v>51</v>
      </c>
      <c r="C54" t="str" xml:space="preserve">
        <v xml:space="preserve">Baklava desenli sacla döşeme yapılması ve yerine konulması (mevcut kiriş, bölme, merdiven_x000d_
ve taşıyıcı üzerine)</v>
      </c>
      <c r="D54" t="str">
        <v>kilogram</v>
      </c>
      <c r="E54" s="1">
        <v>500</v>
      </c>
      <c r="F54" s="2">
        <v>171.25</v>
      </c>
      <c r="G54" s="2">
        <f>IF(F54="","",E54*F54)</f>
        <v>85625</v>
      </c>
      <c r="H54" t="str">
        <v>15.550.1204</v>
      </c>
      <c r="I54" t="str">
        <v>Baklava desenli sacla döşeme yapılması ve yerine konulması (mevcut kiriş, bölme, merdiven ve taşıyıcı üzerine)</v>
      </c>
      <c r="J54" t="str">
        <v/>
      </c>
      <c r="K54" s="2">
        <v>171.25</v>
      </c>
      <c r="M54" s="1">
        <v>93</v>
      </c>
      <c r="N54" t="str">
        <v>inşaat</v>
      </c>
      <c r="O54" t="str">
        <v>10.200.1501 (36)</v>
      </c>
    </row>
    <row r="55" ht="15" customHeight="1">
      <c r="A55" s="1">
        <v>52</v>
      </c>
      <c r="B55" s="1">
        <v>52</v>
      </c>
      <c r="C55" t="str">
        <v>40x50 cm vidalı lavabo</v>
      </c>
      <c r="D55" t="str">
        <v>adet</v>
      </c>
      <c r="E55" s="1">
        <v>2</v>
      </c>
      <c r="F55" s="2">
        <v>1421.08</v>
      </c>
      <c r="G55" s="2">
        <f>IF(F55="","",E55*F55)</f>
        <v>2842.16</v>
      </c>
      <c r="H55" t="str">
        <v>25.100.1009</v>
      </c>
      <c r="I55" t="str">
        <v>40x50 cm vidalı</v>
      </c>
      <c r="J55" t="str">
        <v/>
      </c>
      <c r="K55" s="2">
        <v>1421.08</v>
      </c>
      <c r="L55" s="2">
        <v>432.39</v>
      </c>
      <c r="M55" s="1">
        <v>86</v>
      </c>
      <c r="N55" t="str">
        <v>mekanik</v>
      </c>
      <c r="O55" t="str">
        <v>25.100.1010 (52)</v>
      </c>
    </row>
    <row r="56" ht="30" customHeight="1" xml:space="preserve">
      <c r="A56" s="1">
        <v>53</v>
      </c>
      <c r="B56" s="1">
        <v>53</v>
      </c>
      <c r="C56" t="str" xml:space="preserve">
        <v xml:space="preserve">45x55 cm tezgah altı veya üstü_x000d_
oval lavabo</v>
      </c>
      <c r="D56" t="str">
        <v>adet</v>
      </c>
      <c r="E56" s="1">
        <v>44</v>
      </c>
      <c r="F56" s="2">
        <v>2070.28</v>
      </c>
      <c r="G56" s="2">
        <f>IF(F56="","",E56*F56)</f>
        <v>91092.32</v>
      </c>
      <c r="H56" t="str">
        <v>25.100.1014</v>
      </c>
      <c r="I56" t="str">
        <v>45x55 cm tezgah altı veya üstü oval lavabo</v>
      </c>
      <c r="J56" t="str">
        <v/>
      </c>
      <c r="K56" s="2">
        <v>2070.28</v>
      </c>
      <c r="L56" s="2">
        <v>432.39</v>
      </c>
      <c r="M56" s="1">
        <v>95</v>
      </c>
      <c r="N56" t="str">
        <v>mekanik</v>
      </c>
      <c r="O56" t="str">
        <v>25.100.1015 (58)</v>
      </c>
    </row>
    <row r="57" ht="60" customHeight="1" xml:space="preserve">
      <c r="A57" s="1">
        <v>54</v>
      </c>
      <c r="B57" s="1">
        <v>54</v>
      </c>
      <c r="C57" t="str" xml:space="preserve">
        <v xml:space="preserve">50x60 cm Bedensel Engelli Lavabo. (Lavabonun derinliği en az 43 cm, en fazla 49 cm_x000d_
olmalıdır.)</v>
      </c>
      <c r="D57" t="str">
        <v>adet</v>
      </c>
      <c r="E57" s="1">
        <v>5</v>
      </c>
      <c r="F57" s="2">
        <v>2999.45</v>
      </c>
      <c r="G57" s="2">
        <f>IF(F57="","",E57*F57)</f>
        <v>14997.25</v>
      </c>
      <c r="H57" t="str">
        <v>25.100.1019</v>
      </c>
      <c r="I57" t="str">
        <v>50x60 cm Bedensel Engelli Lavabo. (Lavabonun derinliği en az 43 cm, en fazla 49 cm olmalıdır.)</v>
      </c>
      <c r="J57" t="str">
        <v/>
      </c>
      <c r="K57" s="2">
        <v>2999.45</v>
      </c>
      <c r="L57" s="2">
        <v>432.39</v>
      </c>
      <c r="M57" s="1">
        <v>96</v>
      </c>
      <c r="N57" t="str">
        <v>mekanik</v>
      </c>
      <c r="O57" t="str">
        <v>25.100.1021 (32)</v>
      </c>
    </row>
    <row r="58" ht="45" customHeight="1" xml:space="preserve">
      <c r="A58" s="1">
        <v>55</v>
      </c>
      <c r="B58" s="1">
        <v>55</v>
      </c>
      <c r="C58" t="str" xml:space="preserve">
        <v xml:space="preserve">Birinci sınıf: (Batarya TS EN 200_x000d_
veya TS EN 817 ; Sifon TS-EN 274-1-2-3)</v>
      </c>
      <c r="D58" t="str">
        <v>takım</v>
      </c>
      <c r="E58" s="1">
        <v>51</v>
      </c>
      <c r="F58" s="2">
        <v>3155.64</v>
      </c>
      <c r="G58" s="2">
        <f>IF(F58="","",E58*F58)</f>
        <v>160937.64</v>
      </c>
      <c r="H58" t="str">
        <v>25.102.1201</v>
      </c>
      <c r="I58" t="str">
        <v>Birinci sınıf: (Batarya TS EN 200 veya TS EN 817 ;Sifon TS-EN 274-1-2-3)</v>
      </c>
      <c r="J58" t="str">
        <v>Tk</v>
      </c>
      <c r="K58" s="2">
        <v>3155.64</v>
      </c>
      <c r="L58" s="2">
        <v>516.5</v>
      </c>
      <c r="M58" s="1">
        <v>87</v>
      </c>
      <c r="N58" t="str">
        <v>mekanik</v>
      </c>
      <c r="O58" t="str">
        <v>25.102.1301 (78)</v>
      </c>
    </row>
    <row r="59" ht="30" customHeight="1" xml:space="preserve">
      <c r="A59" s="1">
        <v>56</v>
      </c>
      <c r="B59" s="1">
        <v>56</v>
      </c>
      <c r="C59" t="str" xml:space="preserve">
        <v xml:space="preserve">Engelli kullanımına uygun_x000d_
takriben 50x70 cm. ayna</v>
      </c>
      <c r="D59" t="str">
        <v>adet</v>
      </c>
      <c r="E59" s="1">
        <v>5</v>
      </c>
      <c r="F59" s="2">
        <v>2824.46</v>
      </c>
      <c r="G59" s="2">
        <f>IF(F59="","",E59*F59)</f>
        <v>14122.3</v>
      </c>
      <c r="H59" t="str">
        <v>25.104.1003</v>
      </c>
      <c r="I59" t="str">
        <v>Engelli kullanımına uygun takriben 50x70 cm. ayna Ayarlanabilir açılı 304 kalite paslanmaz çelik çerçeveli engelli aynasının temini ve montajının yapılması.</v>
      </c>
      <c r="J59" t="str">
        <v/>
      </c>
      <c r="K59" s="2">
        <v>2824.46</v>
      </c>
      <c r="L59" s="2">
        <v>375.39</v>
      </c>
      <c r="M59" s="1">
        <v>75</v>
      </c>
      <c r="N59" t="str">
        <v>mekanik</v>
      </c>
    </row>
    <row r="60" ht="60" customHeight="1" xml:space="preserve">
      <c r="A60" s="1">
        <v>57</v>
      </c>
      <c r="B60" s="1">
        <v>57</v>
      </c>
      <c r="C60" t="str" xml:space="preserve">
        <v xml:space="preserve">Flotal ayna (birimi m²) 5 mm flotal aynanın diğer özellikleri BFT 25.104.1000 pozuna uygun_x000d_
olarak yerinde temini ve montajı.</v>
      </c>
      <c r="D60" t="str">
        <v>metrekare</v>
      </c>
      <c r="E60" s="3">
        <v>40.2</v>
      </c>
      <c r="F60" s="2">
        <v>2281.45</v>
      </c>
      <c r="G60" s="2">
        <f>IF(F60="","",E60*F60)</f>
        <v>91714.29</v>
      </c>
      <c r="H60" t="str">
        <v>25.104.1010</v>
      </c>
      <c r="I60" t="str">
        <v>Flotal ayna (birimi m²) 5 mm flotal aynanın diğer özellikleri BFT 25.104.1000 pozuna uygun olarak yerinde temini ve montajı.</v>
      </c>
      <c r="J60" t="str">
        <v/>
      </c>
      <c r="K60" s="2">
        <v>2281.45</v>
      </c>
      <c r="L60" s="2">
        <v>750.78</v>
      </c>
      <c r="M60" s="1">
        <v>94</v>
      </c>
      <c r="N60" t="str">
        <v>mekanik</v>
      </c>
    </row>
    <row r="61" ht="105" customHeight="1" xml:space="preserve">
      <c r="A61" s="1">
        <v>58</v>
      </c>
      <c r="B61" s="1">
        <v>58</v>
      </c>
      <c r="C61" t="str" xml:space="preserve">
        <v xml:space="preserve">Bedensel engelli için, takriben 35x70 cm Ekstra kalite. (Klozetin oturma yerinin yerden yüksekliği 43 cm ile 48 cm arasında olmalıdır), KENDİNDEN REZERVUARLI ALAFRANGA_x000d_
HELA VE TESİSATI</v>
      </c>
      <c r="D61" t="str">
        <v>adet</v>
      </c>
      <c r="E61" s="1">
        <v>5</v>
      </c>
      <c r="F61" s="2">
        <v>15098.06</v>
      </c>
      <c r="G61" s="2">
        <f>IF(F61="","",E61*F61)</f>
        <v>75490.3</v>
      </c>
      <c r="H61" t="str">
        <v>25.112.1103</v>
      </c>
      <c r="I61" t="str">
        <v>Bedensel engelli için, takriben 35x70 cm. Ekstra kalite. (Klozetin oturma yerinin yerden yüksekliği 43 cm ile 48 cm arasında olmalıdır.)</v>
      </c>
      <c r="J61" t="str">
        <v>Tk</v>
      </c>
      <c r="K61" s="2">
        <v>15098.06</v>
      </c>
      <c r="L61" s="2">
        <v>750.78</v>
      </c>
      <c r="M61" s="1">
        <v>85</v>
      </c>
      <c r="N61" t="str">
        <v>mekanik</v>
      </c>
      <c r="O61" t="str">
        <v>25.112.1203 (82)</v>
      </c>
    </row>
    <row r="62" ht="90" customHeight="1" xml:space="preserve">
      <c r="A62" s="1">
        <v>59</v>
      </c>
      <c r="B62" s="1">
        <v>59</v>
      </c>
      <c r="C62" t="str" xml:space="preserve">
        <v xml:space="preserve">Gömme Rezervuarlı Alafranga Tuvalet Seti, KENDİNDEN REZERVUARLI AZ SU TÜKETEN ALAFRANGA HELA VE TESİSATI (TS 800_x000d_
EN 997)</v>
      </c>
      <c r="D62" t="str">
        <v>takım</v>
      </c>
      <c r="E62" s="1">
        <v>29</v>
      </c>
      <c r="F62" s="2">
        <v>13989</v>
      </c>
      <c r="G62" s="2">
        <f>IF(F62="","",E62*F62)</f>
        <v>405681</v>
      </c>
      <c r="H62" t="str">
        <v>25.112.1201</v>
      </c>
      <c r="I62" t="str">
        <v>Takriben 35x55 cm. (Ekstra kalite)</v>
      </c>
      <c r="J62" t="str">
        <v>Tk</v>
      </c>
      <c r="K62" s="2">
        <v>13989</v>
      </c>
      <c r="L62" s="2">
        <v>750.78</v>
      </c>
      <c r="M62" s="1">
        <v>47</v>
      </c>
      <c r="N62" t="str">
        <v>mekanik</v>
      </c>
      <c r="O62" t="str">
        <v>25.112.1204 (44)</v>
      </c>
    </row>
    <row r="63" ht="60" customHeight="1" xml:space="preserve">
      <c r="A63" s="1">
        <v>60</v>
      </c>
      <c r="B63" s="1">
        <v>60</v>
      </c>
      <c r="C63" t="str" xml:space="preserve">
        <v xml:space="preserve">Pirinç sifonlu takriben 35x40x50 cm Ekstra sınıf, Normal tip, PİSUAR VE TESİSATI (TS_x000d_
2747)</v>
      </c>
      <c r="D63" t="str">
        <v>takım</v>
      </c>
      <c r="E63" s="1">
        <v>4</v>
      </c>
      <c r="F63" s="2">
        <v>7118.39</v>
      </c>
      <c r="G63" s="2">
        <f>IF(F63="","",E63*F63)</f>
        <v>28473.56</v>
      </c>
      <c r="H63" t="str">
        <v>25.114.1102</v>
      </c>
      <c r="I63" t="str">
        <v>Pirinç sifonlu takriben 35x40x50 cm. Ekstra sınıf</v>
      </c>
      <c r="J63" t="str">
        <v>Tk</v>
      </c>
      <c r="K63" s="2">
        <v>7118.39</v>
      </c>
      <c r="L63" s="2">
        <v>1118.53</v>
      </c>
      <c r="M63" s="1">
        <v>72</v>
      </c>
      <c r="N63" t="str">
        <v>mekanik</v>
      </c>
      <c r="O63" t="str">
        <v>25.114.1104 (54)</v>
      </c>
    </row>
    <row r="64" ht="30" customHeight="1">
      <c r="A64" s="1">
        <v>61</v>
      </c>
      <c r="B64" s="1">
        <v>61</v>
      </c>
      <c r="C64" t="str">
        <v>Takriben 40x50 cm Ekstra, Sırlı seramikten, PİSUAR BÖLMESİ</v>
      </c>
      <c r="D64" t="str">
        <v>adet</v>
      </c>
      <c r="E64" s="1">
        <v>4</v>
      </c>
      <c r="F64" s="2">
        <v>1787.6</v>
      </c>
      <c r="G64" s="2">
        <f>IF(F64="","",E64*F64)</f>
        <v>7150.4</v>
      </c>
      <c r="H64" t="str">
        <v>25.114.3101</v>
      </c>
      <c r="I64" t="str">
        <v>Takriben 40x50 cm. Ekstra.</v>
      </c>
      <c r="J64" t="str">
        <v>Ad</v>
      </c>
      <c r="K64" s="2">
        <v>1787.6</v>
      </c>
      <c r="L64" s="2">
        <v>432.39</v>
      </c>
      <c r="M64" s="1">
        <v>73</v>
      </c>
      <c r="N64" t="str">
        <v>mekanik</v>
      </c>
      <c r="O64" t="str">
        <v>25.106.1101 (36)</v>
      </c>
    </row>
    <row r="65" ht="60" customHeight="1" xml:space="preserve">
      <c r="A65" s="1">
        <v>62</v>
      </c>
      <c r="B65" s="1">
        <v>62</v>
      </c>
      <c r="C65" t="str" xml:space="preserve">
        <v xml:space="preserve">Paslanmaz çelik takriben 50x50x15 cm, Bir gözlü damlalıksız eviye, EVİYELER_x000d_
(TS EN 13310)</v>
      </c>
      <c r="D65" t="str">
        <v>adet</v>
      </c>
      <c r="E65" s="1">
        <v>1</v>
      </c>
      <c r="F65" s="2">
        <v>2348.14</v>
      </c>
      <c r="G65" s="2">
        <f>IF(F65="","",E65*F65)</f>
        <v>2348.14</v>
      </c>
      <c r="H65" t="str">
        <v>25.118.1101</v>
      </c>
      <c r="I65" t="str">
        <v>Paslanmaz çelik takriben 50x50x15 cm.</v>
      </c>
      <c r="J65" t="str">
        <v>Ad</v>
      </c>
      <c r="K65" s="2">
        <v>2348.14</v>
      </c>
      <c r="L65" s="2">
        <v>582.54</v>
      </c>
      <c r="M65" s="1">
        <v>82</v>
      </c>
      <c r="N65" t="str">
        <v>mekanik</v>
      </c>
      <c r="O65" t="str">
        <v>25.118.1102 (51)</v>
      </c>
    </row>
    <row r="66" ht="75" customHeight="1" xml:space="preserve">
      <c r="A66" s="1">
        <v>63</v>
      </c>
      <c r="B66" s="1">
        <v>63</v>
      </c>
      <c r="C66" t="str" xml:space="preserve">
        <v xml:space="preserve">Bataryalı TS EN 200 veya TSEN 817 ye uygun pirinç sifonlu, TS- EN 274-1-2-3 (Birinci sınıf), Bir_x000d_
gözü eviye tesisatı, EVİYE TESİSATI</v>
      </c>
      <c r="D66" t="str">
        <v>adet</v>
      </c>
      <c r="E66" s="1">
        <v>1</v>
      </c>
      <c r="F66" s="2">
        <v>4696.58</v>
      </c>
      <c r="G66" s="2">
        <f>IF(F66="","",E66*F66)</f>
        <v>4696.58</v>
      </c>
      <c r="H66" t="str">
        <v>25.120.1101</v>
      </c>
      <c r="I66" t="str">
        <v>Bataryalı TS EN 200 veya TSEN 817 ye uygun pirinç sifonlu, TS-EN 274-1-2-3 (Birinci sınıf)</v>
      </c>
      <c r="J66" t="str">
        <v>Ad</v>
      </c>
      <c r="K66" s="2">
        <v>4696.58</v>
      </c>
      <c r="L66" s="2">
        <v>657.63</v>
      </c>
      <c r="M66" s="1">
        <v>93</v>
      </c>
      <c r="N66" t="str">
        <v>mekanik</v>
      </c>
      <c r="O66" t="str">
        <v>25.120.1103 (68)</v>
      </c>
    </row>
    <row r="67" ht="45" customHeight="1" xml:space="preserve">
      <c r="A67" s="1">
        <v>64</v>
      </c>
      <c r="B67" s="1">
        <v>64</v>
      </c>
      <c r="C67" t="str" xml:space="preserve">
        <v xml:space="preserve">El duşu ve askısı ile komple_x000d_
batarya (TS EN 200'e veya TS EN 817' ye uygun)</v>
      </c>
      <c r="D67" t="str">
        <v>takım</v>
      </c>
      <c r="E67" s="1">
        <v>5</v>
      </c>
      <c r="F67" s="2">
        <v>3986.41</v>
      </c>
      <c r="G67" s="2">
        <f>IF(F67="","",E67*F67)</f>
        <v>19932.05</v>
      </c>
      <c r="H67" t="str">
        <v>25.127.1003</v>
      </c>
      <c r="I67" t="str">
        <v>El duşu ve askısı ile komple batarya (TS EN 200'e veya TS EN 817' ye uygun)</v>
      </c>
      <c r="J67" t="str">
        <v>Tk</v>
      </c>
      <c r="K67" s="2">
        <v>3986.41</v>
      </c>
      <c r="L67" s="2">
        <v>807.78</v>
      </c>
      <c r="M67" s="1">
        <v>96</v>
      </c>
      <c r="N67" t="str">
        <v>mekanik</v>
      </c>
      <c r="O67" t="str">
        <v>25.102.1201 (43)</v>
      </c>
    </row>
    <row r="68" ht="30" customHeight="1">
      <c r="A68" s="1">
        <v>65</v>
      </c>
      <c r="B68" s="1">
        <v>65</v>
      </c>
      <c r="C68" t="str">
        <v>1/2" Uzun musluk, süzgeçli rozet dahil.</v>
      </c>
      <c r="D68" t="str">
        <v>adet</v>
      </c>
      <c r="E68" s="1">
        <v>1</v>
      </c>
      <c r="F68" s="2">
        <v>635.09</v>
      </c>
      <c r="G68" s="2">
        <f>IF(F68="","",E68*F68)</f>
        <v>635.09</v>
      </c>
      <c r="H68" t="str">
        <v>25.130.1102</v>
      </c>
      <c r="I68" t="str">
        <v>1/2" Uzun musluk, süzgeçli rozet dahil.</v>
      </c>
      <c r="J68" t="str">
        <v>Ad</v>
      </c>
      <c r="K68" s="2">
        <v>635.09</v>
      </c>
      <c r="L68" s="2">
        <v>87.24</v>
      </c>
      <c r="M68" s="1">
        <v>92</v>
      </c>
      <c r="N68" t="str">
        <v>mekanik</v>
      </c>
      <c r="O68" t="str">
        <v>25.130.1101 (71)</v>
      </c>
    </row>
    <row r="69" ht="30" customHeight="1">
      <c r="A69" s="1">
        <v>66</v>
      </c>
      <c r="B69" s="1">
        <v>66</v>
      </c>
      <c r="C69" t="str">
        <v>Çift kumandalı, duvardan çıkışlı lavabo bataryası, duvara montajlı:</v>
      </c>
      <c r="D69" t="str">
        <v>adet</v>
      </c>
      <c r="E69" s="1">
        <v>1</v>
      </c>
      <c r="F69" s="2">
        <v>3268.29</v>
      </c>
      <c r="G69" s="2">
        <f>IF(F69="","",E69*F69)</f>
        <v>3268.29</v>
      </c>
      <c r="H69" t="str">
        <v>25.130.3206</v>
      </c>
      <c r="I69" t="str">
        <v>Çift kumandalı, duvardan çıkışlı lavabo bataryası, duvara montajlı: Seramik salmastralı veya lastik klapeli salmastralı, kireç tutmayan perlatörlü.</v>
      </c>
      <c r="J69" t="str">
        <v>Ad</v>
      </c>
      <c r="K69" s="2">
        <v>3268.29</v>
      </c>
      <c r="L69" s="2">
        <v>389.99</v>
      </c>
      <c r="M69" s="1">
        <v>80</v>
      </c>
      <c r="N69" t="str">
        <v>mekanik</v>
      </c>
      <c r="O69" t="str">
        <v>25.130.3107 (60)</v>
      </c>
    </row>
    <row r="70" ht="90" customHeight="1" xml:space="preserve">
      <c r="A70" s="1">
        <v>67</v>
      </c>
      <c r="B70" s="1">
        <v>67</v>
      </c>
      <c r="C70" t="str" xml:space="preserve">
        <v xml:space="preserve">Duvar Tipi Sıvı Sabun Köpük Dispenseri, En az 1000 ml hacimli , duvar tipi, sıvı sabun veya köpük basabilen sıvı sabunluk/köpük dispanserinin_x000d_
temini, yerine montajı.</v>
      </c>
      <c r="D70" t="str">
        <v>adet</v>
      </c>
      <c r="E70" s="1">
        <v>35</v>
      </c>
      <c r="F70" s="2">
        <v>771.54</v>
      </c>
      <c r="G70" s="2">
        <f>IF(F70="","",E70*F70)</f>
        <v>27003.9</v>
      </c>
      <c r="H70" t="str">
        <v>25.132.1002</v>
      </c>
      <c r="I70" t="str">
        <v>Duvar Tipi Sıvı Sabun Köpük Dispenseri dispanserinin temini, yerine montajı.</v>
      </c>
      <c r="J70" t="str">
        <v/>
      </c>
      <c r="K70" s="2">
        <v>771.54</v>
      </c>
      <c r="L70" s="2">
        <v>236.35</v>
      </c>
      <c r="M70" s="1">
        <v>73</v>
      </c>
      <c r="N70" t="str">
        <v>mekanik</v>
      </c>
      <c r="O70" t="str">
        <v>25.132.1001 (63)</v>
      </c>
    </row>
    <row r="71" ht="30" customHeight="1">
      <c r="A71" s="1">
        <v>68</v>
      </c>
      <c r="B71" s="1">
        <v>68</v>
      </c>
      <c r="C71" t="str">
        <v>Takriben 10x16 cm, Fayans sabunluk (kolsuz)</v>
      </c>
      <c r="D71" t="str">
        <v>adet</v>
      </c>
      <c r="E71" s="1">
        <v>5</v>
      </c>
      <c r="F71" s="2">
        <v>284.99</v>
      </c>
      <c r="G71" s="2">
        <f>IF(F71="","",E71*F71)</f>
        <v>1424.95</v>
      </c>
      <c r="H71" t="str">
        <v>25.135.1201</v>
      </c>
      <c r="I71" t="str">
        <v>Takriben 10x16 cm.</v>
      </c>
      <c r="J71" t="str">
        <v>Ad</v>
      </c>
      <c r="K71" s="2">
        <v>284.99</v>
      </c>
      <c r="L71" s="2">
        <v>60.48</v>
      </c>
      <c r="M71" s="1">
        <v>87</v>
      </c>
      <c r="N71" t="str">
        <v>mekanik</v>
      </c>
      <c r="O71" t="str">
        <v>25.135.1202 (55)</v>
      </c>
    </row>
    <row r="72" ht="15" customHeight="1">
      <c r="A72" s="1">
        <v>69</v>
      </c>
      <c r="B72" s="1">
        <v>69</v>
      </c>
      <c r="C72" t="str">
        <v>Kağıtlık (paslanmaz çelik)</v>
      </c>
      <c r="D72" t="str">
        <v>adet</v>
      </c>
      <c r="E72" s="1">
        <v>29</v>
      </c>
      <c r="F72" s="2">
        <v>0.66</v>
      </c>
      <c r="G72" s="2">
        <f>IF(F72="","",E72*F72)</f>
        <v>19.14</v>
      </c>
      <c r="H72" t="str">
        <v>10.200.4302</v>
      </c>
      <c r="I72" t="str">
        <v>M10</v>
      </c>
      <c r="J72" t="str">
        <v>Ad</v>
      </c>
      <c r="K72" s="2">
        <v>0.66</v>
      </c>
      <c r="M72" s="1">
        <v>40</v>
      </c>
      <c r="N72" t="str">
        <v>kitap — GÜNCEL FİYAT YOK</v>
      </c>
      <c r="O72" t="str">
        <v>10.200.4303 (40)</v>
      </c>
    </row>
    <row r="73" ht="15" customHeight="1">
      <c r="A73" s="1">
        <v>70</v>
      </c>
      <c r="B73" s="1">
        <v>70</v>
      </c>
      <c r="C73" t="str">
        <v>Engelliler için kağıtlık</v>
      </c>
      <c r="D73" t="str">
        <v>adet</v>
      </c>
      <c r="E73" s="1">
        <v>5</v>
      </c>
      <c r="F73" s="2">
        <v>857.48</v>
      </c>
      <c r="G73" s="2">
        <f>IF(F73="","",E73*F73)</f>
        <v>4287.4</v>
      </c>
      <c r="H73" t="str">
        <v>25.135.2003</v>
      </c>
      <c r="I73" t="str">
        <v>Engelliler için kağıtlık</v>
      </c>
      <c r="J73" t="str">
        <v>Ad</v>
      </c>
      <c r="K73" s="2">
        <v>857.48</v>
      </c>
      <c r="L73" s="2">
        <v>179.35</v>
      </c>
      <c r="M73" s="1">
        <v>95</v>
      </c>
      <c r="N73" t="str">
        <v>mekanik</v>
      </c>
    </row>
    <row r="74" ht="120" customHeight="1" xml:space="preserve">
      <c r="A74" s="1">
        <v>71</v>
      </c>
      <c r="B74" s="1">
        <v>71</v>
      </c>
      <c r="C74" t="str" xml:space="preserve">
        <v xml:space="preserve">Sensörlü Kağıt Havlu Dispanseri: (Ölçü: Ad.) Gövde ve ön kapağı orta sertlikte plastik malzemeden mamul, elektrikli olarak çalışan, dokunmadan el hareketiyle kağıt havlu veren otomatik havlu_x000d_
dispanserinin iş yerine temini ve montajı.</v>
      </c>
      <c r="D74" t="str">
        <v>adet</v>
      </c>
      <c r="E74" s="1">
        <v>15</v>
      </c>
      <c r="F74" s="2">
        <v>2339.43</v>
      </c>
      <c r="G74" s="2">
        <f>IF(F74="","",E74*F74)</f>
        <v>35091.45</v>
      </c>
      <c r="H74" t="str">
        <v>25.135.2500</v>
      </c>
      <c r="I74" t="str">
        <v>Sensörlü Kağıt Havlu Dispanseri: (Ölçü: Ad.) Gövde ve ön kapağı orta sertlikte plastik malzemeden mamul, elektrikli olarak çalışan, dokunmadan el hareketiyle kağıt havlu veren otomatik havlu dispanserinin iş yerine temini ve montajı.</v>
      </c>
      <c r="J74" t="str">
        <v>Ad</v>
      </c>
      <c r="K74" s="2">
        <v>2339.43</v>
      </c>
      <c r="L74" s="2">
        <v>300.31</v>
      </c>
      <c r="M74" s="1">
        <v>99</v>
      </c>
      <c r="N74" t="str">
        <v>mekanik</v>
      </c>
    </row>
    <row r="75" ht="90" customHeight="1" xml:space="preserve">
      <c r="A75" s="1">
        <v>72</v>
      </c>
      <c r="B75" s="1">
        <v>72</v>
      </c>
      <c r="C75" t="str" xml:space="preserve">
        <v xml:space="preserve">Pirinç çatal askı: Ekstra kalite beyaz renkli fayanstan, gömme tip veya fayans üstü askının montaj elemanları ile birlikte iş yerinde temini ve yerine montajı._x000d_
Takriben 10x16 cm.</v>
      </c>
      <c r="D75" t="str">
        <v>adet</v>
      </c>
      <c r="E75" s="1">
        <v>5</v>
      </c>
      <c r="F75" s="2">
        <v>147.4</v>
      </c>
      <c r="G75" s="2">
        <f>IF(F75="","",E75*F75)</f>
        <v>737</v>
      </c>
      <c r="H75" t="str">
        <v>25.135.3002</v>
      </c>
      <c r="I75" t="str">
        <v>Pirinç çatal askı: Ekstra kalite beyaz renkli fayanstan, gömme tip veya fayans üstü askının montaj elemanları ile birlikte iş yerinde temini ve yerine montajı. Takriben 10x16 cm.</v>
      </c>
      <c r="J75" t="str">
        <v>Ad</v>
      </c>
      <c r="K75" s="2">
        <v>147.4</v>
      </c>
      <c r="L75" s="2">
        <v>86.2</v>
      </c>
      <c r="M75" s="1">
        <v>100</v>
      </c>
      <c r="N75" t="str">
        <v>mekanik</v>
      </c>
      <c r="O75" t="str">
        <v>25.135.3001 (91)</v>
      </c>
    </row>
    <row r="76" ht="30" customHeight="1">
      <c r="A76" s="1">
        <v>73</v>
      </c>
      <c r="B76" s="1">
        <v>73</v>
      </c>
      <c r="C76" t="str">
        <v>Engelliler için tutunma barı, Engelliler için tutunma barı</v>
      </c>
      <c r="D76" t="str">
        <v>adet</v>
      </c>
      <c r="E76" s="1">
        <v>10</v>
      </c>
      <c r="F76" s="2">
        <v>1776.41</v>
      </c>
      <c r="G76" s="2">
        <f>IF(F76="","",E76*F76)</f>
        <v>17764.1</v>
      </c>
      <c r="H76" t="str">
        <v>25.135.4001</v>
      </c>
      <c r="I76" t="str">
        <v>Engelliler için tutunma barı: Paslanmaz çelik üzeri krom kaplama takriben 600mm, min Ø 30 mm( krom kaplama yerine püskürtme boyalı olduğu takdirde montajlı fiyatlar % 10 eksiltilerek, montaj bedelleri eksiltilmeden ödenir.)</v>
      </c>
      <c r="J76" t="str">
        <v>Ad</v>
      </c>
      <c r="K76" s="2">
        <v>1776.41</v>
      </c>
      <c r="L76" s="2">
        <v>533.19</v>
      </c>
      <c r="M76" s="1">
        <v>50</v>
      </c>
      <c r="N76" t="str">
        <v>mekanik</v>
      </c>
      <c r="O76" t="str">
        <v>25.135.4004 (37)</v>
      </c>
    </row>
    <row r="77" ht="45" customHeight="1" xml:space="preserve">
      <c r="A77" s="1">
        <v>74</v>
      </c>
      <c r="B77" s="1">
        <v>74</v>
      </c>
      <c r="C77" t="str" xml:space="preserve">
        <v xml:space="preserve">Engelliler için klozet tutunma_x000d_
barı, Engelliler için klozet tutunma barı</v>
      </c>
      <c r="D77" t="str">
        <v>adet</v>
      </c>
      <c r="E77" s="1">
        <v>5</v>
      </c>
      <c r="F77" s="2">
        <v>2212.14</v>
      </c>
      <c r="G77" s="2">
        <f>IF(F77="","",E77*F77)</f>
        <v>11060.7</v>
      </c>
      <c r="H77" t="str">
        <v>25.135.4003</v>
      </c>
      <c r="I77" t="str">
        <v>Engelliler için klozet tutunma barı: Paslanmaz çelik üzeri krom kaplama takriben, 700x 740 mm , min Ø 30 mm( krom kaplama yerine, püskürtme boyalı olduğu takdirde montajlı fiyatlar % 10 eksiltilerek, montaj bedelleri eksiltilmeden ödenir.)</v>
      </c>
      <c r="J77" t="str">
        <v>Ad</v>
      </c>
      <c r="K77" s="2">
        <v>2212.14</v>
      </c>
      <c r="L77" s="2">
        <v>554.04</v>
      </c>
      <c r="M77" s="1">
        <v>54</v>
      </c>
      <c r="N77" t="str">
        <v>mekanik</v>
      </c>
      <c r="O77" t="str">
        <v>25.135.4001 (32)</v>
      </c>
    </row>
    <row r="78" ht="45" customHeight="1" xml:space="preserve">
      <c r="A78" s="1">
        <v>75</v>
      </c>
      <c r="B78" s="1">
        <v>75</v>
      </c>
      <c r="C78" t="str" xml:space="preserve">
        <v xml:space="preserve">Engelliler için katlanabilir_x000d_
tutunma barı, Engelliler için katlanabilir tutunma barı</v>
      </c>
      <c r="D78" t="str">
        <v>adet</v>
      </c>
      <c r="E78" s="1">
        <v>5</v>
      </c>
      <c r="F78" s="2">
        <v>2724.86</v>
      </c>
      <c r="G78" s="2">
        <f>IF(F78="","",E78*F78)</f>
        <v>13624.3</v>
      </c>
      <c r="H78" t="str">
        <v>25.135.4004</v>
      </c>
      <c r="I78" t="str">
        <v>Engelliler için katlanabilir tutunma barı: Paslanmaz çelik üzeri krom kaplama takriben, 800 mm , min Ø 30 mm( krom kaplama yerine püskürtme boyalı olduğunda takdirde montajlı fiyatlar % 10 eksiltilerek, montaj bedelleri eksiltilmeden ödenir.)</v>
      </c>
      <c r="J78" t="str">
        <v>Ad</v>
      </c>
      <c r="K78" s="2">
        <v>2724.86</v>
      </c>
      <c r="L78" s="2">
        <v>554.04</v>
      </c>
      <c r="M78" s="1">
        <v>55</v>
      </c>
      <c r="N78" t="str">
        <v>mekanik</v>
      </c>
      <c r="O78" t="str">
        <v>25.135.4001 (32)</v>
      </c>
    </row>
    <row r="79" ht="30" customHeight="1" xml:space="preserve">
      <c r="A79" s="1">
        <v>76</v>
      </c>
      <c r="B79" s="1">
        <v>76</v>
      </c>
      <c r="C79" t="str" xml:space="preserve">
        <v xml:space="preserve">Pik döküm 15x15 cm. Ø 70_x000d_
çıkışlı yer süzgeçi</v>
      </c>
      <c r="D79" t="str">
        <v>adet</v>
      </c>
      <c r="E79" s="1">
        <v>2</v>
      </c>
      <c r="F79" s="2">
        <v>1349.95</v>
      </c>
      <c r="G79" s="2">
        <f>IF(F79="","",E79*F79)</f>
        <v>2699.9</v>
      </c>
      <c r="H79" t="str">
        <v>25.138.1012</v>
      </c>
      <c r="I79" t="str">
        <v>Pik döküm 15x15 cm. Ø 70 çıkışlı</v>
      </c>
      <c r="J79" t="str">
        <v/>
      </c>
      <c r="K79" s="2">
        <v>1349.95</v>
      </c>
      <c r="L79" s="2">
        <v>311.44</v>
      </c>
      <c r="M79" s="1">
        <v>71</v>
      </c>
      <c r="N79" t="str">
        <v>mekanik</v>
      </c>
      <c r="O79" t="str">
        <v>25.138.1023 (50)</v>
      </c>
    </row>
    <row r="80" ht="30" customHeight="1">
      <c r="A80" s="1">
        <v>77</v>
      </c>
      <c r="B80" s="1">
        <v>77</v>
      </c>
      <c r="C80" t="str">
        <v>Pirinç kromajlı ızgaralı, gövde plastik 15x15 cm. Ø70 çıkışlı</v>
      </c>
      <c r="D80" t="str">
        <v>adet</v>
      </c>
      <c r="E80" s="1">
        <v>52</v>
      </c>
      <c r="F80" s="2">
        <v>434.74</v>
      </c>
      <c r="G80" s="2">
        <f>IF(F80="","",E80*F80)</f>
        <v>22606.48</v>
      </c>
      <c r="H80" t="str">
        <v>25.138.1032</v>
      </c>
      <c r="I80" t="str">
        <v>Pirinç kromajlı ızgaralı, gövde plastik 15x15 cm. Ø70 çıkışlı</v>
      </c>
      <c r="J80" t="str">
        <v/>
      </c>
      <c r="K80" s="2">
        <v>434.74</v>
      </c>
      <c r="L80" s="2">
        <v>225.24</v>
      </c>
      <c r="M80" s="1">
        <v>89</v>
      </c>
      <c r="N80" t="str">
        <v>mekanik</v>
      </c>
      <c r="O80" t="str">
        <v>25.138.1022 (21)</v>
      </c>
    </row>
    <row r="81" ht="60" customHeight="1" xml:space="preserve">
      <c r="A81" s="1">
        <v>78</v>
      </c>
      <c r="B81" s="1">
        <v>78</v>
      </c>
      <c r="C81" t="str" xml:space="preserve">
        <v xml:space="preserve">80 Ø mm Flanşlı Soğuk su sayaçları, Soğuk su sayaçları: İşyerinde temini ve yerine_x000d_
montajı</v>
      </c>
      <c r="D81" t="str">
        <v>adet</v>
      </c>
      <c r="E81" s="1">
        <v>1</v>
      </c>
      <c r="F81" s="2">
        <v>11832.68</v>
      </c>
      <c r="G81" s="2">
        <f>IF(F81="","",E81*F81)</f>
        <v>11832.68</v>
      </c>
      <c r="H81" t="str">
        <v>25.142.1105</v>
      </c>
      <c r="I81" t="str">
        <v>80 Ø mm. flanşlı</v>
      </c>
      <c r="J81" t="str">
        <v/>
      </c>
      <c r="K81" s="2">
        <v>11832.68</v>
      </c>
      <c r="L81" s="2">
        <v>1014.93</v>
      </c>
      <c r="M81" s="1">
        <v>67</v>
      </c>
      <c r="N81" t="str">
        <v>mekanik</v>
      </c>
      <c r="O81" t="str">
        <v>25.170.1208 (41)</v>
      </c>
    </row>
    <row r="82" ht="15" customHeight="1">
      <c r="A82" s="1">
        <v>79</v>
      </c>
      <c r="B82" s="1">
        <v>79</v>
      </c>
      <c r="C82" t="str">
        <v>50 Ø mm (2") FLOTÖR</v>
      </c>
      <c r="D82" t="str">
        <v>adet</v>
      </c>
      <c r="E82" s="1">
        <v>1</v>
      </c>
      <c r="F82" s="2">
        <v>1605.96</v>
      </c>
      <c r="G82" s="2">
        <f>IF(F82="","",E82*F82)</f>
        <v>1605.96</v>
      </c>
      <c r="H82" t="str">
        <v>25.144.1007</v>
      </c>
      <c r="I82" t="str">
        <v>50 Ø mm. ( 2")</v>
      </c>
      <c r="J82" t="str">
        <v>Ad</v>
      </c>
      <c r="K82" s="2">
        <v>1605.96</v>
      </c>
      <c r="L82" s="2">
        <v>344.8</v>
      </c>
      <c r="M82" s="1">
        <v>83</v>
      </c>
      <c r="N82" t="str">
        <v>mekanik</v>
      </c>
      <c r="O82" t="str">
        <v>25.144.1002 (31)</v>
      </c>
    </row>
    <row r="83" ht="30" customHeight="1">
      <c r="A83" s="1">
        <v>80</v>
      </c>
      <c r="B83" s="1">
        <v>80</v>
      </c>
      <c r="C83" t="str">
        <v>20,0 m³ Prizmatik Modüler Paslanmaz Çelik Su Deposu</v>
      </c>
      <c r="D83" t="str">
        <v>adet</v>
      </c>
      <c r="E83" s="1">
        <v>1</v>
      </c>
      <c r="F83" s="2">
        <v>412942.41</v>
      </c>
      <c r="G83" s="2">
        <f>IF(F83="","",E83*F83)</f>
        <v>412942.41</v>
      </c>
      <c r="H83" t="str">
        <v>25.150.1210</v>
      </c>
      <c r="I83" t="str">
        <v>20,0 m3</v>
      </c>
      <c r="J83" t="str">
        <v>Ad</v>
      </c>
      <c r="K83" s="2">
        <v>412942.41</v>
      </c>
      <c r="L83" s="2">
        <v>43962</v>
      </c>
      <c r="M83" s="1">
        <v>78</v>
      </c>
      <c r="N83" t="str">
        <v>mekanik</v>
      </c>
      <c r="O83" t="str">
        <v>25.150.1310 (54)</v>
      </c>
    </row>
    <row r="84" ht="30" customHeight="1">
      <c r="A84" s="1">
        <v>81</v>
      </c>
      <c r="B84" s="1">
        <v>81</v>
      </c>
      <c r="C84" t="str">
        <v>59,6 m³ Prizmatik Modüler Galvanizli Su Deposu</v>
      </c>
      <c r="D84" t="str">
        <v>adet</v>
      </c>
      <c r="E84" s="1">
        <v>1</v>
      </c>
      <c r="F84" s="2">
        <v>493159.59</v>
      </c>
      <c r="G84" s="2">
        <f>IF(F84="","",E84*F84)</f>
        <v>493159.59</v>
      </c>
      <c r="H84" t="str">
        <v>25.150.1319</v>
      </c>
      <c r="I84" t="str">
        <v>59,6 m3</v>
      </c>
      <c r="J84" t="str">
        <v>Ad</v>
      </c>
      <c r="K84" s="2">
        <v>493159.59</v>
      </c>
      <c r="L84" s="2">
        <v>83885.11</v>
      </c>
      <c r="M84" s="1">
        <v>77</v>
      </c>
      <c r="N84" t="str">
        <v>mekanik</v>
      </c>
      <c r="O84" t="str">
        <v>25.150.1219 (57)</v>
      </c>
    </row>
    <row r="85" ht="45" customHeight="1" xml:space="preserve">
      <c r="A85" s="1">
        <v>82</v>
      </c>
      <c r="B85" s="1">
        <v>82</v>
      </c>
      <c r="C85" t="str" xml:space="preserve">
        <v xml:space="preserve">Debi-m³/h: 10-30 Basınç-mSS: 60-90, İki Pompalı Düşey Milli_x000d_
Frekans Konvertörlü Hidrofor</v>
      </c>
      <c r="D85" t="str">
        <v>adet</v>
      </c>
      <c r="E85" s="1">
        <v>1</v>
      </c>
      <c r="F85" s="2">
        <v>251993.13</v>
      </c>
      <c r="G85" s="2">
        <f>IF(F85="","",E85*F85)</f>
        <v>251993.13</v>
      </c>
      <c r="H85" t="str">
        <v>25.160.2203</v>
      </c>
      <c r="I85" t="str">
        <v>10 - 30</v>
      </c>
      <c r="J85" t="str">
        <v>Ad</v>
      </c>
      <c r="K85" s="2">
        <v>251993.13</v>
      </c>
      <c r="L85" s="2">
        <v>5806.33</v>
      </c>
      <c r="M85" s="1">
        <v>54</v>
      </c>
      <c r="N85" t="str">
        <v>mekanik</v>
      </c>
      <c r="O85" t="str">
        <v>25.160.2204 (54)</v>
      </c>
    </row>
    <row r="86" ht="15" customHeight="1">
      <c r="A86" s="1">
        <v>83</v>
      </c>
      <c r="B86" s="1">
        <v>83</v>
      </c>
      <c r="C86" t="str">
        <v>50 Ø mm (2"), Kollektör borusu</v>
      </c>
      <c r="D86" t="str">
        <v>metre</v>
      </c>
      <c r="E86" s="1">
        <v>2</v>
      </c>
      <c r="F86" s="2">
        <v>1296.74</v>
      </c>
      <c r="G86" s="2">
        <f>IF(F86="","",E86*F86)</f>
        <v>2593.48</v>
      </c>
      <c r="H86" t="str">
        <v>25.170.1101</v>
      </c>
      <c r="I86" t="str">
        <v>50 ø mm. (2")</v>
      </c>
      <c r="J86" t="str">
        <v>m</v>
      </c>
      <c r="K86" s="2">
        <v>1296.74</v>
      </c>
      <c r="L86" s="2">
        <v>535.96</v>
      </c>
      <c r="M86" s="1">
        <v>71</v>
      </c>
      <c r="N86" t="str">
        <v>mekanik</v>
      </c>
      <c r="O86" t="str">
        <v>25.365.1102 (43)</v>
      </c>
    </row>
    <row r="87" ht="15" customHeight="1">
      <c r="C87" t="str">
        <v>galvanizli</v>
      </c>
    </row>
    <row r="88" ht="30" customHeight="1">
      <c r="A88" s="1">
        <v>84</v>
      </c>
      <c r="B88" s="1">
        <v>84</v>
      </c>
      <c r="C88" t="str">
        <v>80 Ø mm (3"), Kollektör borusu galvanizli</v>
      </c>
      <c r="D88" t="str">
        <v>metre</v>
      </c>
      <c r="E88" s="1">
        <v>1</v>
      </c>
      <c r="F88" s="2">
        <v>1853.63</v>
      </c>
      <c r="G88" s="2">
        <f>IF(F88="","",E88*F88)</f>
        <v>1853.63</v>
      </c>
      <c r="H88" t="str">
        <v>25.170.1102</v>
      </c>
      <c r="I88" t="str">
        <v>80 ø mm. (3")</v>
      </c>
      <c r="J88" t="str">
        <v>m</v>
      </c>
      <c r="K88" s="2">
        <v>1853.63</v>
      </c>
      <c r="L88" s="2">
        <v>639.54</v>
      </c>
      <c r="M88" s="1">
        <v>79</v>
      </c>
      <c r="N88" t="str">
        <v>mekanik</v>
      </c>
      <c r="O88" t="str">
        <v>25.170.1208 (27)</v>
      </c>
    </row>
    <row r="89" ht="30" customHeight="1">
      <c r="A89" s="1">
        <v>85</v>
      </c>
      <c r="B89" s="1">
        <v>85</v>
      </c>
      <c r="C89" t="str">
        <v>25 Ø mm, Kollektör ağzı: Galvanizli manşonlarla</v>
      </c>
      <c r="D89" t="str">
        <v>adet</v>
      </c>
      <c r="E89" s="1">
        <v>7</v>
      </c>
      <c r="F89" s="2">
        <v>155.53</v>
      </c>
      <c r="G89" s="2">
        <f>IF(F89="","",E89*F89)</f>
        <v>1088.71</v>
      </c>
      <c r="H89" t="str">
        <v>25.170.1203</v>
      </c>
      <c r="I89" t="str">
        <v>25 ø mm.</v>
      </c>
      <c r="J89" t="str">
        <v/>
      </c>
      <c r="K89" s="2">
        <v>155.53</v>
      </c>
      <c r="L89" s="2">
        <v>112.61</v>
      </c>
      <c r="M89" s="1">
        <v>77</v>
      </c>
      <c r="N89" t="str">
        <v>mekanik</v>
      </c>
      <c r="O89" t="str">
        <v>25.170.1211 (42)</v>
      </c>
    </row>
    <row r="90" ht="30" customHeight="1">
      <c r="A90" s="1">
        <v>86</v>
      </c>
      <c r="B90" s="1">
        <v>86</v>
      </c>
      <c r="C90" t="str">
        <v>40 Ø mm, Kollektör ağzı: Galvanizli manşonlarla</v>
      </c>
      <c r="D90" t="str">
        <v>adet</v>
      </c>
      <c r="E90" s="1">
        <v>4</v>
      </c>
      <c r="F90" s="2">
        <v>220.29</v>
      </c>
      <c r="G90" s="2">
        <f>IF(F90="","",E90*F90)</f>
        <v>881.16</v>
      </c>
      <c r="H90" t="str">
        <v>25.170.1205</v>
      </c>
      <c r="I90" t="str">
        <v>40 ø mm.</v>
      </c>
      <c r="J90" t="str">
        <v/>
      </c>
      <c r="K90" s="2">
        <v>220.29</v>
      </c>
      <c r="L90" s="2">
        <v>150.15</v>
      </c>
      <c r="M90" s="1">
        <v>77</v>
      </c>
      <c r="N90" t="str">
        <v>mekanik</v>
      </c>
      <c r="O90" t="str">
        <v>25.170.1211 (42)</v>
      </c>
    </row>
    <row r="91" ht="30" customHeight="1">
      <c r="A91" s="1">
        <v>87</v>
      </c>
      <c r="B91" s="1">
        <v>87</v>
      </c>
      <c r="C91" t="str">
        <v>50 Ø mm, Kollektör ağzı: Galvanizli manşonlarla</v>
      </c>
      <c r="D91" t="str">
        <v>adet</v>
      </c>
      <c r="E91" s="1">
        <v>1</v>
      </c>
      <c r="F91" s="2">
        <v>242.81</v>
      </c>
      <c r="G91" s="2">
        <f>IF(F91="","",E91*F91)</f>
        <v>242.81</v>
      </c>
      <c r="H91" t="str">
        <v>25.170.1206</v>
      </c>
      <c r="I91" t="str">
        <v>50 ø mm.</v>
      </c>
      <c r="J91" t="str">
        <v/>
      </c>
      <c r="K91" s="2">
        <v>242.81</v>
      </c>
      <c r="L91" s="2">
        <v>150.15</v>
      </c>
      <c r="M91" s="1">
        <v>77</v>
      </c>
      <c r="N91" t="str">
        <v>mekanik</v>
      </c>
      <c r="O91" t="str">
        <v>25.170.1211 (42)</v>
      </c>
    </row>
    <row r="92" ht="45" customHeight="1" xml:space="preserve">
      <c r="A92" s="1">
        <v>88</v>
      </c>
      <c r="B92" s="1">
        <v>88</v>
      </c>
      <c r="C92" t="str" xml:space="preserve">
        <v xml:space="preserve">Termometre, hidrometre ve_x000d_
boşaltma ağızları, SOĞUK VE_x000d_
SICAK SU KOLLEKTÖRÜ</v>
      </c>
      <c r="D92" t="str">
        <v>adet</v>
      </c>
      <c r="E92" s="1">
        <v>1</v>
      </c>
      <c r="F92" s="2">
        <v>86.43</v>
      </c>
      <c r="G92" s="2">
        <f>IF(F92="","",E92*F92)</f>
        <v>86.43</v>
      </c>
      <c r="H92" t="str">
        <v>25.170.1211</v>
      </c>
      <c r="I92" t="str">
        <v>Termometre, hidrometre ve boşaltma ağızları (Ölçü: Ad.)</v>
      </c>
      <c r="J92" t="str">
        <v>Ad</v>
      </c>
      <c r="K92" s="2">
        <v>86.43</v>
      </c>
      <c r="L92" s="2">
        <v>64.65</v>
      </c>
      <c r="M92" s="1">
        <v>84</v>
      </c>
      <c r="N92" t="str">
        <v>mekanik</v>
      </c>
      <c r="O92" t="str">
        <v>25.170.1206 (36)</v>
      </c>
    </row>
    <row r="93" ht="45" customHeight="1" xml:space="preserve">
      <c r="A93" s="1">
        <v>89</v>
      </c>
      <c r="B93" s="1">
        <v>89</v>
      </c>
      <c r="C93" t="str" xml:space="preserve">
        <v xml:space="preserve">1000 lt-Minimum sıcak su debisi_x000d_
1340 lt/h (10,0 kPa) Tek Serpantinli Dik Boyler</v>
      </c>
      <c r="D93" t="str">
        <v>adet</v>
      </c>
      <c r="E93" s="1">
        <v>1</v>
      </c>
      <c r="F93" s="2">
        <v>86376.44</v>
      </c>
      <c r="G93" s="2">
        <f>IF(F93="","",E93*F93)</f>
        <v>86376.44</v>
      </c>
      <c r="H93" t="str">
        <v>25.175.1806</v>
      </c>
      <c r="I93" t="str">
        <v>1000 lt–Minimum sıcak su debisi : 860 lt/h (50,0 kPa)</v>
      </c>
      <c r="J93" t="str">
        <v/>
      </c>
      <c r="K93" s="2">
        <v>86376.44</v>
      </c>
      <c r="L93" s="2">
        <v>9604.45</v>
      </c>
      <c r="M93" s="1">
        <v>31</v>
      </c>
      <c r="N93" t="str">
        <v>mekanik</v>
      </c>
      <c r="O93" t="str">
        <v>25.175.1409 (26)</v>
      </c>
    </row>
    <row r="94" ht="30" customHeight="1">
      <c r="A94" s="1">
        <v>90</v>
      </c>
      <c r="B94" s="1">
        <v>90</v>
      </c>
      <c r="C94" t="str">
        <v>2x10 kW Isıtıcılı pano, Elektrikli Isıtıcı ve Pano İlavesi</v>
      </c>
      <c r="D94" t="str">
        <v>adet</v>
      </c>
      <c r="E94" s="1">
        <v>1</v>
      </c>
      <c r="F94" s="2">
        <v>36049.75</v>
      </c>
      <c r="G94" s="2">
        <f>IF(F94="","",E94*F94)</f>
        <v>36049.75</v>
      </c>
      <c r="H94" t="str">
        <v>25.175.2808</v>
      </c>
      <c r="I94" t="str">
        <v>2 x 10 Kw Isıtıcılı pano</v>
      </c>
      <c r="J94" t="str">
        <v/>
      </c>
      <c r="K94" s="2">
        <v>36049.75</v>
      </c>
      <c r="L94" s="2">
        <v>859.21</v>
      </c>
      <c r="M94" s="1">
        <v>70</v>
      </c>
      <c r="N94" t="str">
        <v>mekanik</v>
      </c>
      <c r="O94" t="str">
        <v>25.175.2805 (47)</v>
      </c>
    </row>
    <row r="95" ht="60" customHeight="1" xml:space="preserve">
      <c r="A95" s="1">
        <v>91</v>
      </c>
      <c r="B95" s="1">
        <v>91</v>
      </c>
      <c r="C95" t="str" xml:space="preserve">
        <v xml:space="preserve">Seçici (Selektif) Alüminyum Yüzeyli Kollektör, Seçici (Selektif) Yüzeyli Kolektörler,_x000d_
Güneş Enerjisi Toplayıcıları</v>
      </c>
      <c r="D95" t="str">
        <v>metrekare</v>
      </c>
      <c r="E95" s="3">
        <v>18.9</v>
      </c>
      <c r="F95" s="2">
        <v>13441.48</v>
      </c>
      <c r="G95" s="2">
        <f>IF(F95="","",E95*F95)</f>
        <v>254043.97</v>
      </c>
      <c r="H95" t="str">
        <v>25.178.1031</v>
      </c>
      <c r="I95" t="str">
        <v>Seçici (Selektif) Alüminyum Yüzeyli Kollektör</v>
      </c>
      <c r="J95" t="str">
        <v>m2</v>
      </c>
      <c r="K95" s="2">
        <v>13441.48</v>
      </c>
      <c r="L95" s="2">
        <v>1786.56</v>
      </c>
      <c r="M95" s="1">
        <v>73</v>
      </c>
      <c r="N95" t="str">
        <v>mekanik</v>
      </c>
    </row>
    <row r="96" ht="30" customHeight="1">
      <c r="A96" s="1">
        <v>92</v>
      </c>
      <c r="B96" s="1">
        <v>92</v>
      </c>
      <c r="C96" t="str">
        <v>Güneş Enerjisi Kontrol Paneli, Güneş Enerjisi Kontrol Paneli</v>
      </c>
      <c r="D96" t="str">
        <v>adet</v>
      </c>
      <c r="E96" s="1">
        <v>1</v>
      </c>
      <c r="F96" s="2">
        <v>14360.61</v>
      </c>
      <c r="G96" s="2">
        <f>IF(F96="","",E96*F96)</f>
        <v>14360.61</v>
      </c>
      <c r="H96" t="str">
        <v>25.178.1200</v>
      </c>
      <c r="I96" t="str">
        <v>Güneş Enerjisi Kontrol Paneli: (Ölçü: Ad.) Güneş enerjisi sistemi ile sıcak su üretmenin yapıldığı sistemlerde kullanılan, sensörlerinden biri kolektördeki sıcaklığı algılayan, ikincisi de boylerdeki sıcaklığı algılayıp bu değerlere göre sistemi kumanda ediebilen, dijital ekranı; kolektör sıcaklığını, boyler sıcaklığını ve fark sıcaklık ayarını gösteren, Güneş kolektörü sıcaklığı ile boyler arasındaki sıcaklık farkı ayarlanan değerden fazla ise pompayı çalıştırıp durduran, Fark sıcaklık ayarı +2°C ile 20°C arasında yapılabilen panellerin yerine montajı çalışır halde teslimi. Not : Kontrol Panelleri, 2014/35/AB Belirli Gerilim Sınırları için Tasarlanan Elektrikli Ekipman ile ilgili Yönetmeliğe , 93/68/EEC‘e göre, AB elektromanyetik uyumluluk yönetmeliğine göre 89/336/EEC versiyon 92/31/EEC versiyon 93/68/EEC uygun, CE işaretli olarak piyasaya arz edilmiş olacaktır.</v>
      </c>
      <c r="J96" t="str">
        <v>Ad</v>
      </c>
      <c r="K96" s="2">
        <v>14360.61</v>
      </c>
      <c r="L96" s="2">
        <v>807.78</v>
      </c>
      <c r="M96" s="1">
        <v>39</v>
      </c>
      <c r="N96" t="str">
        <v>mekanik</v>
      </c>
      <c r="O96" t="str">
        <v>25.555.1002 (33)</v>
      </c>
    </row>
    <row r="97" ht="30" customHeight="1">
      <c r="A97" s="1">
        <v>93</v>
      </c>
      <c r="B97" s="1">
        <v>93</v>
      </c>
      <c r="C97" t="str">
        <v>Paslanmaz Çelikten güneş enerji sistemleri taşıyıcıları, MESNETLER</v>
      </c>
      <c r="D97" t="str">
        <v>kilogram</v>
      </c>
      <c r="E97" s="1">
        <v>50</v>
      </c>
      <c r="F97" s="2">
        <v>270.39</v>
      </c>
      <c r="G97" s="2">
        <f>IF(F97="","",E97*F97)</f>
        <v>13519.5</v>
      </c>
      <c r="H97" t="str">
        <v>25.178.2003</v>
      </c>
      <c r="I97" t="str">
        <v>Paslanmaz Çelikten güneş enerji sistemleri taşıyıcıları (Ölçü: kg.) Onaylı projesine uygun olarak, en az AISI 304 kalite Paslanmaz Çelikten , güneş enerjisi sistem panellerinin taşıyıcılarının imalatı. Taşıyıcılar, projeye ve bulunduğu bölgenin coğrafi koşullarına uygunluğunu kanıtlayan mühendislik ve statik hesap raporuna sahip olmalıdır.</v>
      </c>
      <c r="J97" t="str">
        <v>kg</v>
      </c>
      <c r="K97" s="2">
        <v>270.39</v>
      </c>
      <c r="L97" s="2">
        <v>92.18</v>
      </c>
      <c r="M97" s="1">
        <v>51</v>
      </c>
      <c r="N97" t="str">
        <v>mekanik</v>
      </c>
      <c r="O97" t="str">
        <v>25.178.2001 (34)</v>
      </c>
    </row>
    <row r="98" ht="30" customHeight="1" xml:space="preserve">
      <c r="A98" s="1">
        <v>94</v>
      </c>
      <c r="B98" s="1">
        <v>94</v>
      </c>
      <c r="C98" t="str" xml:space="preserve">
        <v xml:space="preserve">57/3,0 Ø mm dikişli borulu,_x000d_
Kollektör borusu</v>
      </c>
      <c r="D98" t="str">
        <v>metre</v>
      </c>
      <c r="E98" s="1">
        <v>2</v>
      </c>
      <c r="F98" s="2">
        <v>418.3</v>
      </c>
      <c r="G98" s="2">
        <f>IF(F98="","",E98*F98)</f>
        <v>836.6</v>
      </c>
      <c r="H98" t="str">
        <v>25.245.1101</v>
      </c>
      <c r="I98" t="str">
        <v>57/3,0 ø mm. dikişli borulu</v>
      </c>
      <c r="J98" t="str">
        <v>m</v>
      </c>
      <c r="K98" s="2">
        <v>418.3</v>
      </c>
      <c r="L98" s="2">
        <v>150.15</v>
      </c>
      <c r="M98" s="1">
        <v>91</v>
      </c>
      <c r="N98" t="str">
        <v>mekanik</v>
      </c>
      <c r="O98" t="str">
        <v>25.300.1203 (31)</v>
      </c>
    </row>
    <row r="99" ht="30" customHeight="1">
      <c r="A99" s="1">
        <v>95</v>
      </c>
      <c r="B99" s="1">
        <v>95</v>
      </c>
      <c r="C99" t="str">
        <v>324/7,1 ø mm. patent çelik çekme borulu kolektör</v>
      </c>
      <c r="D99" t="str">
        <v>metre</v>
      </c>
      <c r="E99" s="1">
        <v>7</v>
      </c>
      <c r="F99" s="2">
        <v>4947.13</v>
      </c>
      <c r="G99" s="2">
        <f>IF(F99="","",E99*F99)</f>
        <v>34629.91</v>
      </c>
      <c r="H99" t="str">
        <v>25.245.1208</v>
      </c>
      <c r="I99" t="str">
        <v>324/7,1 ø mm. patent çelik çekme borulu kolektör</v>
      </c>
      <c r="J99" t="str">
        <v>m</v>
      </c>
      <c r="K99" s="2">
        <v>4947.13</v>
      </c>
      <c r="L99" s="2">
        <v>750.78</v>
      </c>
      <c r="M99" s="1">
        <v>84</v>
      </c>
      <c r="N99" t="str">
        <v>mekanik</v>
      </c>
    </row>
    <row r="100" ht="30" customHeight="1">
      <c r="A100" s="1">
        <v>96</v>
      </c>
      <c r="B100" s="1">
        <v>96</v>
      </c>
      <c r="C100" t="str">
        <v>Ağız çapı 20 Ø mm, Kollektör ağızlıkları</v>
      </c>
      <c r="D100" t="str">
        <v>adet</v>
      </c>
      <c r="E100" s="1">
        <v>1</v>
      </c>
      <c r="F100" s="2">
        <v>285.95</v>
      </c>
      <c r="G100" s="2">
        <f>IF(F100="","",E100*F100)</f>
        <v>285.95</v>
      </c>
      <c r="H100" t="str">
        <v>25.245.2002</v>
      </c>
      <c r="I100" t="str">
        <v>Ağız çapı 20 ø mm.</v>
      </c>
      <c r="J100" t="str">
        <v>Ad</v>
      </c>
      <c r="K100" s="2">
        <v>285.95</v>
      </c>
      <c r="L100" s="2">
        <v>107.75</v>
      </c>
      <c r="M100" s="1">
        <v>90</v>
      </c>
      <c r="N100" t="str">
        <v>mekanik</v>
      </c>
      <c r="O100" t="str">
        <v>25.170.1202 (24)</v>
      </c>
    </row>
    <row r="101" ht="30" customHeight="1">
      <c r="A101" s="1">
        <v>97</v>
      </c>
      <c r="B101" s="1">
        <v>97</v>
      </c>
      <c r="C101" t="str">
        <v>Ağız çapı 32 Ø mm, Kollektör ağızlıkları</v>
      </c>
      <c r="D101" t="str">
        <v>adet</v>
      </c>
      <c r="E101" s="1">
        <v>6</v>
      </c>
      <c r="F101" s="2">
        <v>435.64</v>
      </c>
      <c r="G101" s="2">
        <f>IF(F101="","",E101*F101)</f>
        <v>2613.84</v>
      </c>
      <c r="H101" t="str">
        <v>25.245.2004</v>
      </c>
      <c r="I101" t="str">
        <v>Ağız çapı 32 ø mm.</v>
      </c>
      <c r="J101" t="str">
        <v>Ad</v>
      </c>
      <c r="K101" s="2">
        <v>435.64</v>
      </c>
      <c r="L101" s="2">
        <v>107.75</v>
      </c>
      <c r="M101" s="1">
        <v>90</v>
      </c>
      <c r="N101" t="str">
        <v>mekanik</v>
      </c>
      <c r="O101" t="str">
        <v>25.144.1005 (27)</v>
      </c>
    </row>
    <row r="102" ht="30" customHeight="1">
      <c r="A102" s="1">
        <v>98</v>
      </c>
      <c r="B102" s="1">
        <v>98</v>
      </c>
      <c r="C102" t="str">
        <v>Ağız çapı 50 Ø mm, Kollektör ağızlıkları</v>
      </c>
      <c r="D102" t="str">
        <v>adet</v>
      </c>
      <c r="E102" s="1">
        <v>2</v>
      </c>
      <c r="F102" s="2">
        <v>581.54</v>
      </c>
      <c r="G102" s="2">
        <f>IF(F102="","",E102*F102)</f>
        <v>1163.08</v>
      </c>
      <c r="H102" t="str">
        <v>25.245.2006</v>
      </c>
      <c r="I102" t="str">
        <v>Ağız çapı 50 ø mm.</v>
      </c>
      <c r="J102" t="str">
        <v>Ad</v>
      </c>
      <c r="K102" s="2">
        <v>581.54</v>
      </c>
      <c r="L102" s="2">
        <v>172.4</v>
      </c>
      <c r="M102" s="1">
        <v>90</v>
      </c>
      <c r="N102" t="str">
        <v>mekanik</v>
      </c>
      <c r="O102" t="str">
        <v>25.400.9201 (26)</v>
      </c>
    </row>
    <row r="103" ht="30" customHeight="1">
      <c r="A103" s="1">
        <v>99</v>
      </c>
      <c r="B103" s="1">
        <v>99</v>
      </c>
      <c r="C103" t="str">
        <v>Ağız çapı 65 Ø mm, Kollektör ağızlıkları</v>
      </c>
      <c r="D103" t="str">
        <v>adet</v>
      </c>
      <c r="E103" s="1">
        <v>1</v>
      </c>
      <c r="F103" s="2">
        <v>715.55</v>
      </c>
      <c r="G103" s="2">
        <f>IF(F103="","",E103*F103)</f>
        <v>715.55</v>
      </c>
      <c r="H103" t="str">
        <v>25.245.2007</v>
      </c>
      <c r="I103" t="str">
        <v>Ağız çapı 65 ø mm.</v>
      </c>
      <c r="J103" t="str">
        <v>Ad</v>
      </c>
      <c r="K103" s="2">
        <v>715.55</v>
      </c>
      <c r="L103" s="2">
        <v>172.4</v>
      </c>
      <c r="M103" s="1">
        <v>90</v>
      </c>
      <c r="N103" t="str">
        <v>mekanik</v>
      </c>
      <c r="O103" t="str">
        <v>25.170.1207 (26)</v>
      </c>
    </row>
    <row r="104" ht="30" customHeight="1">
      <c r="A104" s="1">
        <v>100</v>
      </c>
      <c r="B104" s="1">
        <v>100</v>
      </c>
      <c r="C104" t="str">
        <v>Ağız çapı 80 Ø mm, Kollektör ağızlıkları</v>
      </c>
      <c r="D104" t="str">
        <v>adet</v>
      </c>
      <c r="E104" s="1">
        <v>1</v>
      </c>
      <c r="F104" s="2">
        <v>815.68</v>
      </c>
      <c r="G104" s="2">
        <f>IF(F104="","",E104*F104)</f>
        <v>815.68</v>
      </c>
      <c r="H104" t="str">
        <v>25.245.2008</v>
      </c>
      <c r="I104" t="str">
        <v>Ağız çapı 80 ø mm.</v>
      </c>
      <c r="J104" t="str">
        <v>Ad</v>
      </c>
      <c r="K104" s="2">
        <v>815.68</v>
      </c>
      <c r="L104" s="2">
        <v>215.5</v>
      </c>
      <c r="M104" s="1">
        <v>90</v>
      </c>
      <c r="N104" t="str">
        <v>mekanik</v>
      </c>
      <c r="O104" t="str">
        <v>25.170.1208 (25)</v>
      </c>
    </row>
    <row r="105" ht="30" customHeight="1">
      <c r="A105" s="1">
        <v>101</v>
      </c>
      <c r="B105" s="1">
        <v>101</v>
      </c>
      <c r="C105" t="str">
        <v>Ağız çapı 100 Ø mm, Kollektör ağızlıkları</v>
      </c>
      <c r="D105" t="str">
        <v>adet</v>
      </c>
      <c r="E105" s="1">
        <v>3</v>
      </c>
      <c r="F105" s="2">
        <v>831.35</v>
      </c>
      <c r="G105" s="2">
        <f>IF(F105="","",E105*F105)</f>
        <v>2494.05</v>
      </c>
      <c r="H105" t="str">
        <v>25.245.2009</v>
      </c>
      <c r="I105" t="str">
        <v>Ağız çapı 100 ø mm.</v>
      </c>
      <c r="J105" t="str">
        <v>Ad</v>
      </c>
      <c r="K105" s="2">
        <v>831.35</v>
      </c>
      <c r="L105" s="2">
        <v>215.5</v>
      </c>
      <c r="M105" s="1">
        <v>90</v>
      </c>
      <c r="N105" t="str">
        <v>mekanik</v>
      </c>
      <c r="O105" t="str">
        <v>25.400.9202 (25)</v>
      </c>
    </row>
    <row r="106" ht="30" customHeight="1">
      <c r="A106" s="1">
        <v>102</v>
      </c>
      <c r="B106" s="1">
        <v>102</v>
      </c>
      <c r="C106" t="str">
        <v>Ağız çapı 150 Ø mm, Kollektör ağızlıkları</v>
      </c>
      <c r="D106" t="str">
        <v>adet</v>
      </c>
      <c r="E106" s="1">
        <v>8</v>
      </c>
      <c r="F106" s="2">
        <v>1260.79</v>
      </c>
      <c r="G106" s="2">
        <f>IF(F106="","",E106*F106)</f>
        <v>10086.32</v>
      </c>
      <c r="H106" t="str">
        <v>25.245.2011</v>
      </c>
      <c r="I106" t="str">
        <v>Ağız çapı 150 ø mm.</v>
      </c>
      <c r="J106" t="str">
        <v>Ad</v>
      </c>
      <c r="K106" s="2">
        <v>1260.79</v>
      </c>
      <c r="L106" s="2">
        <v>258.6</v>
      </c>
      <c r="M106" s="1">
        <v>90</v>
      </c>
      <c r="N106" t="str">
        <v>mekanik</v>
      </c>
      <c r="O106" t="str">
        <v>25.400.9203 (26)</v>
      </c>
    </row>
    <row r="107" ht="30" customHeight="1">
      <c r="A107" s="1">
        <v>103</v>
      </c>
      <c r="B107" s="1">
        <v>103</v>
      </c>
      <c r="C107" t="str">
        <v>Ağız çapı 200 Ø mm, Kollektör ağızlıkları</v>
      </c>
      <c r="D107" t="str">
        <v>adet</v>
      </c>
      <c r="E107" s="1">
        <v>2</v>
      </c>
      <c r="F107" s="2">
        <v>1563.01</v>
      </c>
      <c r="G107" s="2">
        <f>IF(F107="","",E107*F107)</f>
        <v>3126.02</v>
      </c>
      <c r="H107" t="str">
        <v>25.245.2012</v>
      </c>
      <c r="I107" t="str">
        <v>Ağız çapı 200 ø mm.</v>
      </c>
      <c r="J107" t="str">
        <v>Ad</v>
      </c>
      <c r="K107" s="2">
        <v>1563.01</v>
      </c>
      <c r="L107" s="2">
        <v>258.6</v>
      </c>
      <c r="M107" s="1">
        <v>90</v>
      </c>
      <c r="N107" t="str">
        <v>mekanik</v>
      </c>
      <c r="O107" t="str">
        <v>25.400.9204 (26)</v>
      </c>
    </row>
    <row r="108" ht="30" customHeight="1">
      <c r="A108" s="1">
        <v>104</v>
      </c>
      <c r="B108" s="1">
        <v>104</v>
      </c>
      <c r="C108" t="str">
        <v>Ø=100 mm 120 °C bölüntülü, TERMOMETRE</v>
      </c>
      <c r="D108" t="str">
        <v>adet</v>
      </c>
      <c r="E108" s="1">
        <v>4</v>
      </c>
      <c r="F108" s="2">
        <v>748.39</v>
      </c>
      <c r="G108" s="2">
        <f>IF(F108="","",E108*F108)</f>
        <v>2993.56</v>
      </c>
      <c r="H108" t="str">
        <v>25.250.2101</v>
      </c>
      <c r="I108" t="str">
        <v>ø 100 mm 120 °C bölüntülü</v>
      </c>
      <c r="J108" t="str">
        <v>Ad</v>
      </c>
      <c r="K108" s="2">
        <v>748.39</v>
      </c>
      <c r="L108" s="2">
        <v>107.75</v>
      </c>
      <c r="M108" s="1">
        <v>88</v>
      </c>
      <c r="N108" t="str">
        <v>mekanik</v>
      </c>
      <c r="O108" t="str">
        <v>25.250.2103 (53)</v>
      </c>
    </row>
    <row r="109" ht="30" customHeight="1">
      <c r="A109" s="1">
        <v>105</v>
      </c>
      <c r="B109" s="1">
        <v>105</v>
      </c>
      <c r="C109" t="str">
        <v>Ø=100 mm 5 Atmosfer kadar bölüntülü, MANOMETRE</v>
      </c>
      <c r="D109" t="str">
        <v>adet</v>
      </c>
      <c r="E109" s="1">
        <v>4</v>
      </c>
      <c r="F109" s="2">
        <v>671.08</v>
      </c>
      <c r="G109" s="2">
        <f>IF(F109="","",E109*F109)</f>
        <v>2684.32</v>
      </c>
      <c r="H109" t="str">
        <v>25.250.2303</v>
      </c>
      <c r="I109" t="str">
        <v>ø 100 mm. 5 Atmosfer kadar bölüntülü</v>
      </c>
      <c r="J109" t="str">
        <v>Ad</v>
      </c>
      <c r="K109" s="2">
        <v>671.08</v>
      </c>
      <c r="L109" s="2">
        <v>107.75</v>
      </c>
      <c r="M109" s="1">
        <v>89</v>
      </c>
      <c r="N109" t="str">
        <v>mekanik</v>
      </c>
      <c r="O109" t="str">
        <v>25.250.2307 (56)</v>
      </c>
    </row>
    <row r="110" ht="30" customHeight="1">
      <c r="A110" s="1">
        <v>106</v>
      </c>
      <c r="B110" s="1">
        <v>106</v>
      </c>
      <c r="C110" t="str">
        <v>Ø=100 mm 10 Atmosfer kadar bölüntülü, MANOMETRE</v>
      </c>
      <c r="D110" t="str">
        <v>adet</v>
      </c>
      <c r="E110" s="1">
        <v>7</v>
      </c>
      <c r="F110" s="2">
        <v>671.08</v>
      </c>
      <c r="G110" s="2">
        <f>IF(F110="","",E110*F110)</f>
        <v>4697.56</v>
      </c>
      <c r="H110" t="str">
        <v>25.250.2304</v>
      </c>
      <c r="I110" t="str">
        <v>ø 100 mm. 10 Atmosfer kadar bölüntülü</v>
      </c>
      <c r="J110" t="str">
        <v>Ad</v>
      </c>
      <c r="K110" s="2">
        <v>671.08</v>
      </c>
      <c r="L110" s="2">
        <v>107.75</v>
      </c>
      <c r="M110" s="1">
        <v>89</v>
      </c>
      <c r="N110" t="str">
        <v>mekanik</v>
      </c>
      <c r="O110" t="str">
        <v>25.250.2308 (56)</v>
      </c>
    </row>
    <row r="111" ht="15" customHeight="1">
      <c r="A111" s="1">
        <v>107</v>
      </c>
      <c r="B111" s="1">
        <v>107</v>
      </c>
      <c r="C111" t="str">
        <v>8 Atmosfer İşletme Basıncında:</v>
      </c>
      <c r="D111" t="str">
        <v>adet</v>
      </c>
      <c r="E111" s="1">
        <v>1</v>
      </c>
      <c r="G111" t="str">
        <f>IF(F111="","",E111*F111)</f>
        <v/>
      </c>
      <c r="M111" s="1">
        <v>0</v>
      </c>
    </row>
    <row r="112" ht="45" customHeight="1">
      <c r="C112" t="str">
        <v>50 litre, Çelikten Atmosfere kapalı, değişebilir diyaframlı genleşme deposu</v>
      </c>
    </row>
    <row r="113" ht="30" customHeight="1">
      <c r="A113" s="1">
        <v>108</v>
      </c>
      <c r="B113" s="1">
        <v>108</v>
      </c>
      <c r="C113" t="str">
        <v>Dikişli siyah boru 1" (Bina içinde vidalı, %30 eklenmiş)</v>
      </c>
      <c r="D113" t="str">
        <v>metre</v>
      </c>
      <c r="E113" s="1">
        <v>795</v>
      </c>
      <c r="F113" s="2">
        <v>335.24</v>
      </c>
      <c r="G113" s="2">
        <f>IF(F113="","",E113*F113)</f>
        <v>266515.8</v>
      </c>
      <c r="H113" t="str">
        <v>25.300.1103</v>
      </c>
      <c r="I113" t="str">
        <v>1"</v>
      </c>
      <c r="J113" t="str">
        <v>m</v>
      </c>
      <c r="K113" s="2">
        <v>335.24</v>
      </c>
      <c r="L113" s="2">
        <v>216.2</v>
      </c>
      <c r="M113" s="1">
        <v>20</v>
      </c>
      <c r="N113" t="str">
        <v>mekanik</v>
      </c>
    </row>
    <row r="114" ht="30" customHeight="1">
      <c r="A114" s="1">
        <v>109</v>
      </c>
      <c r="B114" s="1">
        <v>109</v>
      </c>
      <c r="C114" t="str">
        <v>Dikişli siyah boru (1 1/4") (Bina içinde vidalı, %30 eklenmiş)</v>
      </c>
      <c r="D114" t="str">
        <v>metre</v>
      </c>
      <c r="E114" s="1">
        <v>270</v>
      </c>
      <c r="F114" s="2">
        <v>476.59</v>
      </c>
      <c r="G114" s="2">
        <f>IF(F114="","",E114*F114)</f>
        <v>128679.3</v>
      </c>
      <c r="H114" t="str">
        <v>25.300.1104</v>
      </c>
      <c r="I114" t="str">
        <v>1 1/4"</v>
      </c>
      <c r="J114" t="str">
        <v>m</v>
      </c>
      <c r="K114" s="2">
        <v>476.59</v>
      </c>
      <c r="L114" s="2">
        <v>319.78</v>
      </c>
      <c r="M114" s="1">
        <v>36</v>
      </c>
      <c r="N114" t="str">
        <v>mekanik</v>
      </c>
      <c r="O114" t="str">
        <v>25.300.1404 (21)</v>
      </c>
    </row>
    <row r="115" ht="30" customHeight="1">
      <c r="A115" s="1">
        <v>110</v>
      </c>
      <c r="B115" s="1">
        <v>110</v>
      </c>
      <c r="C115" t="str">
        <v>Dikişli siyah boru 1 1/2" (Bina içinde vidalı, %30 eklenmiş)</v>
      </c>
      <c r="D115" t="str">
        <v>metre</v>
      </c>
      <c r="E115" s="1">
        <v>85</v>
      </c>
      <c r="F115" s="2">
        <v>538.36</v>
      </c>
      <c r="G115" s="2">
        <f>IF(F115="","",E115*F115)</f>
        <v>45760.6</v>
      </c>
      <c r="H115" t="str">
        <v>25.300.1105</v>
      </c>
      <c r="I115" t="str">
        <v>1 1/2"</v>
      </c>
      <c r="J115" t="str">
        <v>m</v>
      </c>
      <c r="K115" s="2">
        <v>538.36</v>
      </c>
      <c r="L115" s="2">
        <v>357.31</v>
      </c>
      <c r="M115" s="1">
        <v>36</v>
      </c>
      <c r="N115" t="str">
        <v>mekanik</v>
      </c>
      <c r="O115" t="str">
        <v>25.300.1101 (32)</v>
      </c>
    </row>
    <row r="116" ht="30" customHeight="1">
      <c r="A116" s="1">
        <v>111</v>
      </c>
      <c r="B116" s="1">
        <v>111</v>
      </c>
      <c r="C116" t="str">
        <v>Dikişli siyah boru 2" (Bina içinde vidalı, %30 eklenmiş)</v>
      </c>
      <c r="D116" t="str">
        <v>metre</v>
      </c>
      <c r="E116" s="1">
        <v>214</v>
      </c>
      <c r="F116" s="2">
        <v>650.03</v>
      </c>
      <c r="G116" s="2">
        <f>IF(F116="","",E116*F116)</f>
        <v>139106.42</v>
      </c>
      <c r="H116" t="str">
        <v>25.300.1106</v>
      </c>
      <c r="I116" t="str">
        <v>2"</v>
      </c>
      <c r="J116" t="str">
        <v>m</v>
      </c>
      <c r="K116" s="2">
        <v>650.03</v>
      </c>
      <c r="L116" s="2">
        <v>394.85</v>
      </c>
      <c r="M116" s="1">
        <v>20</v>
      </c>
      <c r="N116" t="str">
        <v>mekanik</v>
      </c>
    </row>
    <row r="117" ht="30" customHeight="1">
      <c r="A117" s="1">
        <v>112</v>
      </c>
      <c r="B117" s="1">
        <v>112</v>
      </c>
      <c r="C117" t="str">
        <v>Dikişli siyah boru 2 1/2" (Bina içinde vidalı, %30 eklenmiş)</v>
      </c>
      <c r="D117" t="str">
        <v>metre</v>
      </c>
      <c r="E117" s="1">
        <v>135</v>
      </c>
      <c r="F117" s="2">
        <v>727.01</v>
      </c>
      <c r="G117" s="2">
        <f>IF(F117="","",E117*F117)</f>
        <v>98146.35</v>
      </c>
      <c r="H117" t="str">
        <v>25.300.1107</v>
      </c>
      <c r="I117" t="str">
        <v>2 1/2"</v>
      </c>
      <c r="J117" t="str">
        <v>m</v>
      </c>
      <c r="K117" s="2">
        <v>727.01</v>
      </c>
      <c r="L117" s="2">
        <v>394.85</v>
      </c>
      <c r="M117" s="1">
        <v>36</v>
      </c>
      <c r="N117" t="str">
        <v>mekanik</v>
      </c>
      <c r="O117" t="str">
        <v>25.300.1101 (32)</v>
      </c>
    </row>
    <row r="118" ht="30" customHeight="1">
      <c r="A118" s="1">
        <v>113</v>
      </c>
      <c r="B118" s="1">
        <v>113</v>
      </c>
      <c r="C118" t="str">
        <v>Dikişli siyah boru (3") (Bina içinde vidalı, %30 eklenmiş)</v>
      </c>
      <c r="D118" t="str">
        <v>metre</v>
      </c>
      <c r="E118" s="1">
        <v>138</v>
      </c>
      <c r="F118" s="2">
        <v>865.76</v>
      </c>
      <c r="G118" s="2">
        <f>IF(F118="","",E118*F118)</f>
        <v>119474.88</v>
      </c>
      <c r="H118" t="str">
        <v>25.300.1108</v>
      </c>
      <c r="I118" t="str">
        <v>3"</v>
      </c>
      <c r="J118" t="str">
        <v>m</v>
      </c>
      <c r="K118" s="2">
        <v>865.76</v>
      </c>
      <c r="L118" s="2">
        <v>432.39</v>
      </c>
      <c r="M118" s="1">
        <v>21</v>
      </c>
      <c r="N118" t="str">
        <v>mekanik</v>
      </c>
    </row>
    <row r="119" ht="30" customHeight="1">
      <c r="A119" s="1">
        <v>114</v>
      </c>
      <c r="B119" s="1">
        <v>114</v>
      </c>
      <c r="C119" t="str">
        <v>Dikişli siyah boru (4") (Bina içinde vidalı, %30 eklenmiş)</v>
      </c>
      <c r="D119" t="str">
        <v>metre</v>
      </c>
      <c r="E119" s="1">
        <v>166</v>
      </c>
      <c r="F119" s="2">
        <v>1111.44</v>
      </c>
      <c r="G119" s="2">
        <f>IF(F119="","",E119*F119)</f>
        <v>184499.04</v>
      </c>
      <c r="H119" t="str">
        <v>25.300.1109</v>
      </c>
      <c r="I119" t="str">
        <v>4"</v>
      </c>
      <c r="J119" t="str">
        <v>m</v>
      </c>
      <c r="K119" s="2">
        <v>1111.44</v>
      </c>
      <c r="L119" s="2">
        <v>469.93</v>
      </c>
      <c r="M119" s="1">
        <v>21</v>
      </c>
      <c r="N119" t="str">
        <v>mekanik</v>
      </c>
    </row>
    <row r="120" ht="30" customHeight="1">
      <c r="A120" s="1">
        <v>115</v>
      </c>
      <c r="B120" s="1">
        <v>115</v>
      </c>
      <c r="C120" t="str">
        <v>Dikişli siyah boru (6") (Bina içinde vidalı, %30 eklenmiş)</v>
      </c>
      <c r="D120" t="str">
        <v>metre</v>
      </c>
      <c r="E120" s="1">
        <v>95</v>
      </c>
      <c r="F120" s="2">
        <v>1645.54</v>
      </c>
      <c r="G120" s="2">
        <f>IF(F120="","",E120*F120)</f>
        <v>156326.3</v>
      </c>
      <c r="H120" t="str">
        <v>25.300.1111</v>
      </c>
      <c r="I120" t="str">
        <v>6"</v>
      </c>
      <c r="J120" t="str">
        <v>m</v>
      </c>
      <c r="K120" s="2">
        <v>1645.54</v>
      </c>
      <c r="L120" s="2">
        <v>573.5</v>
      </c>
      <c r="M120" s="1">
        <v>21</v>
      </c>
      <c r="N120" t="str">
        <v>mekanik</v>
      </c>
    </row>
    <row r="121" ht="60" customHeight="1" xml:space="preserve">
      <c r="A121" s="1">
        <v>116</v>
      </c>
      <c r="B121" s="1">
        <v>116</v>
      </c>
      <c r="C121" t="str" xml:space="preserve">
        <v xml:space="preserve">Düz-Spiral Kaynaklı Borular: (S235jr (St37) kalite) (TS EN 10217-1), 8", 37.2 kg/m) (Bina_x000d_
içinde vidalı, %30 eklenmiş)</v>
      </c>
      <c r="D121" t="str">
        <v>metre</v>
      </c>
      <c r="E121" s="1">
        <v>4</v>
      </c>
      <c r="F121" s="2">
        <v>7913.26</v>
      </c>
      <c r="G121" s="2">
        <f>IF(F121="","",E121*F121)</f>
        <v>31653.04</v>
      </c>
      <c r="H121" t="str">
        <v>25.300.1357</v>
      </c>
      <c r="I121" t="str">
        <v>30"</v>
      </c>
      <c r="J121" t="str">
        <v/>
      </c>
      <c r="K121" s="2">
        <v>7913.26</v>
      </c>
      <c r="L121" s="2">
        <v>1917.26</v>
      </c>
      <c r="M121" s="1">
        <v>77</v>
      </c>
      <c r="N121" t="str">
        <v>mekanik</v>
      </c>
      <c r="O121" t="str">
        <v>25.300.1358 (77)</v>
      </c>
    </row>
    <row r="122" ht="30" customHeight="1">
      <c r="A122" s="1">
        <v>117</v>
      </c>
      <c r="B122" s="1">
        <v>117</v>
      </c>
      <c r="C122" t="str">
        <v>Dikişli galvanizli boru (1/2") (Bina içinde vidalı, %30 eklenmiş)</v>
      </c>
      <c r="D122" t="str">
        <v>metre</v>
      </c>
      <c r="E122" s="1">
        <v>143</v>
      </c>
      <c r="F122" s="2">
        <v>203.41</v>
      </c>
      <c r="G122" s="2">
        <f>IF(F122="","",E122*F122)</f>
        <v>29087.63</v>
      </c>
      <c r="H122" t="str">
        <v>25.300.1101</v>
      </c>
      <c r="I122" t="str">
        <v>1/2"</v>
      </c>
      <c r="J122" t="str">
        <v>m</v>
      </c>
      <c r="K122" s="2">
        <v>203.41</v>
      </c>
      <c r="L122" s="2">
        <v>141.11</v>
      </c>
      <c r="M122" s="1">
        <v>31</v>
      </c>
      <c r="N122" t="str">
        <v>mekanik</v>
      </c>
      <c r="O122" t="str">
        <v>25.300.1105 (30)</v>
      </c>
    </row>
    <row r="123" ht="45" customHeight="1" xml:space="preserve">
      <c r="A123" s="1">
        <v>118</v>
      </c>
      <c r="B123" s="1">
        <v>118</v>
      </c>
      <c r="C123" t="str" xml:space="preserve">
        <v xml:space="preserve">Dikişli galvanizli boru (3/4") (Bina içinde vidalı, %30_x000d_
eklenmiş)</v>
      </c>
      <c r="D123" t="str">
        <v>metre</v>
      </c>
      <c r="E123" s="1">
        <v>103</v>
      </c>
      <c r="F123" s="2">
        <v>258.49</v>
      </c>
      <c r="G123" s="2">
        <f>IF(F123="","",E123*F123)</f>
        <v>26624.47</v>
      </c>
      <c r="H123" t="str">
        <v>25.300.1102</v>
      </c>
      <c r="I123" t="str">
        <v>3/4"</v>
      </c>
      <c r="J123" t="str">
        <v>m</v>
      </c>
      <c r="K123" s="2">
        <v>258.49</v>
      </c>
      <c r="L123" s="2">
        <v>178.65</v>
      </c>
      <c r="M123" s="1">
        <v>32</v>
      </c>
      <c r="N123" t="str">
        <v>mekanik</v>
      </c>
      <c r="O123" t="str">
        <v>25.300.1402 (27)</v>
      </c>
    </row>
    <row r="124" ht="30" customHeight="1">
      <c r="A124" s="1">
        <v>119</v>
      </c>
      <c r="B124" s="1">
        <v>119</v>
      </c>
      <c r="C124" t="str">
        <v>Dikişli galvanizli boru (1") (Bina içinde vidalı, %30 eklenmiş)</v>
      </c>
      <c r="D124" t="str">
        <v>metre</v>
      </c>
      <c r="E124" s="1">
        <v>142</v>
      </c>
      <c r="F124" s="2">
        <v>335.24</v>
      </c>
      <c r="G124" s="2">
        <f>IF(F124="","",E124*F124)</f>
        <v>47604.08</v>
      </c>
      <c r="H124" t="str">
        <v>25.300.1103</v>
      </c>
      <c r="I124" t="str">
        <v>1"</v>
      </c>
      <c r="J124" t="str">
        <v>m</v>
      </c>
      <c r="K124" s="2">
        <v>335.24</v>
      </c>
      <c r="L124" s="2">
        <v>216.2</v>
      </c>
      <c r="M124" s="1">
        <v>20</v>
      </c>
      <c r="N124" t="str">
        <v>mekanik</v>
      </c>
    </row>
    <row r="125" ht="30" customHeight="1" xml:space="preserve">
      <c r="A125" s="1">
        <v>120</v>
      </c>
      <c r="B125" s="1">
        <v>120</v>
      </c>
      <c r="C125" t="str" xml:space="preserve">
        <v xml:space="preserve">Dikişli galvanizli boru (1 1/4")_x000d_
(Bina içinde vidalı, %30 eklenmiş)</v>
      </c>
      <c r="D125" t="str">
        <v>metre</v>
      </c>
      <c r="E125" s="1">
        <v>76</v>
      </c>
      <c r="F125" s="2">
        <v>476.59</v>
      </c>
      <c r="G125" s="2">
        <f>IF(F125="","",E125*F125)</f>
        <v>36220.84</v>
      </c>
      <c r="H125" t="str">
        <v>25.300.1104</v>
      </c>
      <c r="I125" t="str">
        <v>1 1/4"</v>
      </c>
      <c r="J125" t="str">
        <v>m</v>
      </c>
      <c r="K125" s="2">
        <v>476.59</v>
      </c>
      <c r="L125" s="2">
        <v>319.78</v>
      </c>
      <c r="M125" s="1">
        <v>36</v>
      </c>
      <c r="N125" t="str">
        <v>mekanik</v>
      </c>
      <c r="O125" t="str">
        <v>25.300.1404 (29)</v>
      </c>
    </row>
    <row r="126" ht="45" customHeight="1" xml:space="preserve">
      <c r="A126" s="1">
        <v>121</v>
      </c>
      <c r="B126" s="1">
        <v>121</v>
      </c>
      <c r="C126" t="str" xml:space="preserve">
        <v xml:space="preserve">Dikişli galvanizli boru (1 1/2") (Bina içinde vidalı, %30_x000d_
eklenmiş)</v>
      </c>
      <c r="D126" t="str">
        <v>metre</v>
      </c>
      <c r="E126" s="1">
        <v>79</v>
      </c>
      <c r="F126" s="2">
        <v>538.36</v>
      </c>
      <c r="G126" s="2">
        <f>IF(F126="","",E126*F126)</f>
        <v>42530.44</v>
      </c>
      <c r="H126" t="str">
        <v>25.300.1105</v>
      </c>
      <c r="I126" t="str">
        <v>1 1/2"</v>
      </c>
      <c r="J126" t="str">
        <v>m</v>
      </c>
      <c r="K126" s="2">
        <v>538.36</v>
      </c>
      <c r="L126" s="2">
        <v>357.31</v>
      </c>
      <c r="M126" s="1">
        <v>35</v>
      </c>
      <c r="N126" t="str">
        <v>mekanik</v>
      </c>
      <c r="O126" t="str">
        <v>25.300.1101 (31)</v>
      </c>
    </row>
    <row r="127" ht="30" customHeight="1">
      <c r="A127" s="1">
        <v>122</v>
      </c>
      <c r="B127" s="1">
        <v>122</v>
      </c>
      <c r="C127" t="str">
        <v>Dikişli galvanizli boru (2") (Bina içinde vidalı, %30 eklenmiş)</v>
      </c>
      <c r="D127" t="str">
        <v>metre</v>
      </c>
      <c r="E127" s="1">
        <v>13</v>
      </c>
      <c r="F127" s="2">
        <v>650.03</v>
      </c>
      <c r="G127" s="2">
        <f>IF(F127="","",E127*F127)</f>
        <v>8450.39</v>
      </c>
      <c r="H127" t="str">
        <v>25.300.1106</v>
      </c>
      <c r="I127" t="str">
        <v>2"</v>
      </c>
      <c r="J127" t="str">
        <v>m</v>
      </c>
      <c r="K127" s="2">
        <v>650.03</v>
      </c>
      <c r="L127" s="2">
        <v>394.85</v>
      </c>
      <c r="M127" s="1">
        <v>20</v>
      </c>
      <c r="N127" t="str">
        <v>mekanik</v>
      </c>
      <c r="O127" t="str">
        <v>25.300.1406 (20)</v>
      </c>
    </row>
    <row r="128" ht="30" customHeight="1">
      <c r="A128" s="1">
        <v>123</v>
      </c>
      <c r="B128" s="1">
        <v>123</v>
      </c>
      <c r="C128" t="str">
        <v>Dikişli galvanizli boru (3") (Bina içinde vidalı, %30 eklenmiş)</v>
      </c>
      <c r="D128" t="str">
        <v>metre</v>
      </c>
      <c r="E128" s="1">
        <v>43</v>
      </c>
      <c r="F128" s="2">
        <v>865.76</v>
      </c>
      <c r="G128" s="2">
        <f>IF(F128="","",E128*F128)</f>
        <v>37227.68</v>
      </c>
      <c r="H128" t="str">
        <v>25.300.1108</v>
      </c>
      <c r="I128" t="str">
        <v>3"</v>
      </c>
      <c r="J128" t="str">
        <v>m</v>
      </c>
      <c r="K128" s="2">
        <v>865.76</v>
      </c>
      <c r="L128" s="2">
        <v>432.39</v>
      </c>
      <c r="M128" s="1">
        <v>21</v>
      </c>
      <c r="N128" t="str">
        <v>mekanik</v>
      </c>
    </row>
    <row r="129" ht="45" customHeight="1" xml:space="preserve">
      <c r="A129" s="1">
        <v>124</v>
      </c>
      <c r="B129" s="1">
        <v>124</v>
      </c>
      <c r="C129" t="str" xml:space="preserve">
        <v xml:space="preserve">Sert PVC içme su borusu_x000d_
(yapıştırma muflu, çap: 25 mm, 10 atü) (Bina içi, %25 eklenmiş)</v>
      </c>
      <c r="D129" t="str">
        <v>metre</v>
      </c>
      <c r="E129" s="1">
        <v>608</v>
      </c>
      <c r="F129" s="2">
        <v>66.69</v>
      </c>
      <c r="G129" s="2">
        <f>IF(F129="","",E129*F129)</f>
        <v>40547.52</v>
      </c>
      <c r="H129" t="str">
        <v>25.305.1102</v>
      </c>
      <c r="I129" t="str">
        <v>25</v>
      </c>
      <c r="J129" t="str">
        <v>m</v>
      </c>
      <c r="K129" s="2">
        <v>66.69</v>
      </c>
      <c r="L129" s="2">
        <v>35.73</v>
      </c>
      <c r="M129" s="1">
        <v>30</v>
      </c>
      <c r="N129" t="str">
        <v>mekanik</v>
      </c>
    </row>
    <row r="130" ht="45" customHeight="1">
      <c r="A130" s="1">
        <v>125</v>
      </c>
      <c r="B130" s="1">
        <v>125</v>
      </c>
      <c r="C130" t="str">
        <v>Sert PVC içme su borusu (yapıştırma muflu, çap: 32 mm, 10 atü) (Bina içi, %25 eklenmiş)</v>
      </c>
      <c r="D130" t="str">
        <v>metre</v>
      </c>
      <c r="E130" s="1">
        <v>127</v>
      </c>
      <c r="F130" s="2">
        <v>96</v>
      </c>
      <c r="G130" s="2">
        <f>IF(F130="","",E130*F130)</f>
        <v>12192</v>
      </c>
      <c r="H130" t="str">
        <v>25.305.1103</v>
      </c>
      <c r="I130" t="str">
        <v>32</v>
      </c>
      <c r="J130" t="str">
        <v>m</v>
      </c>
      <c r="K130" s="2">
        <v>96</v>
      </c>
      <c r="L130" s="2">
        <v>53.6</v>
      </c>
      <c r="M130" s="1">
        <v>27</v>
      </c>
      <c r="N130" t="str">
        <v>mekanik</v>
      </c>
      <c r="O130" t="str">
        <v>25.305.1102 (27)</v>
      </c>
    </row>
    <row r="131" ht="45" customHeight="1" xml:space="preserve">
      <c r="A131" s="1">
        <v>126</v>
      </c>
      <c r="B131" s="1">
        <v>126</v>
      </c>
      <c r="C131" t="str" xml:space="preserve">
        <v xml:space="preserve">Sert PVC içme su borusu_x000d_
(yapıştırma muflu, çap: 40 mm, 10 atü) (Bina içi, %25 eklenmiş)</v>
      </c>
      <c r="D131" t="str">
        <v>metre</v>
      </c>
      <c r="E131" s="1">
        <v>37</v>
      </c>
      <c r="F131" s="2">
        <v>132.45</v>
      </c>
      <c r="G131" s="2">
        <f>IF(F131="","",E131*F131)</f>
        <v>4900.65</v>
      </c>
      <c r="H131" t="str">
        <v>25.305.1104</v>
      </c>
      <c r="I131" t="str">
        <v>40</v>
      </c>
      <c r="J131" t="str">
        <v>m</v>
      </c>
      <c r="K131" s="2">
        <v>132.45</v>
      </c>
      <c r="L131" s="2">
        <v>71.46</v>
      </c>
      <c r="M131" s="1">
        <v>27</v>
      </c>
      <c r="N131" t="str">
        <v>mekanik</v>
      </c>
      <c r="O131" t="str">
        <v>25.305.1102 (27)</v>
      </c>
    </row>
    <row r="132" ht="45" customHeight="1" xml:space="preserve">
      <c r="A132" s="1">
        <v>127</v>
      </c>
      <c r="B132" s="1">
        <v>127</v>
      </c>
      <c r="C132" t="str" xml:space="preserve">
        <v xml:space="preserve">Sert PVC içme su borusu_x000d_
(yapıştırma muflu, çap: 50 mm, 6 atü) (Bina içi, %25 eklenmiş)</v>
      </c>
      <c r="D132" t="str">
        <v>metre</v>
      </c>
      <c r="E132" s="1">
        <v>33</v>
      </c>
      <c r="F132" s="2">
        <v>66.69</v>
      </c>
      <c r="G132" s="2">
        <f>IF(F132="","",E132*F132)</f>
        <v>2200.77</v>
      </c>
      <c r="H132" t="str">
        <v>25.305.1102</v>
      </c>
      <c r="I132" t="str">
        <v>25</v>
      </c>
      <c r="J132" t="str">
        <v>m</v>
      </c>
      <c r="K132" s="2">
        <v>66.69</v>
      </c>
      <c r="L132" s="2">
        <v>35.73</v>
      </c>
      <c r="M132" s="1">
        <v>27</v>
      </c>
      <c r="N132" t="str">
        <v>mekanik</v>
      </c>
      <c r="O132" t="str">
        <v>25.305.1105 (27)</v>
      </c>
    </row>
    <row r="133" ht="45" customHeight="1">
      <c r="A133" s="1">
        <v>128</v>
      </c>
      <c r="B133" s="1">
        <v>128</v>
      </c>
      <c r="C133" t="str">
        <v>Sert PVC içme su borusu (yapıştırma muflu, çap: 63 mm, 6 atü) (Bina içi, %25 eklenmiş)</v>
      </c>
      <c r="D133" t="str">
        <v>metre</v>
      </c>
      <c r="E133" s="1">
        <v>45</v>
      </c>
      <c r="F133" s="2">
        <v>178.85</v>
      </c>
      <c r="G133" s="2">
        <f>IF(F133="","",E133*F133)</f>
        <v>8048.25</v>
      </c>
      <c r="H133" t="str">
        <v>25.305.1107</v>
      </c>
      <c r="I133" t="str">
        <v>63</v>
      </c>
      <c r="J133" t="str">
        <v>m</v>
      </c>
      <c r="K133" s="2">
        <v>178.85</v>
      </c>
      <c r="L133" s="2">
        <v>80.39</v>
      </c>
      <c r="M133" s="1">
        <v>28</v>
      </c>
      <c r="N133" t="str">
        <v>mekanik</v>
      </c>
      <c r="O133" t="str">
        <v>25.305.1108 (28)</v>
      </c>
    </row>
    <row r="134" ht="45" customHeight="1" xml:space="preserve">
      <c r="A134" s="1">
        <v>129</v>
      </c>
      <c r="B134" s="1">
        <v>129</v>
      </c>
      <c r="C134" t="str" xml:space="preserve">
        <v xml:space="preserve">Sert PVC içme su borusu_x000d_
(yapıştırma muflu, çap: 75 mm, 6 atü) (Bina içi, %25 eklenmiş)</v>
      </c>
      <c r="D134" t="str">
        <v>metre</v>
      </c>
      <c r="E134" s="1">
        <v>30</v>
      </c>
      <c r="F134" s="2">
        <v>225.11</v>
      </c>
      <c r="G134" s="2">
        <f>IF(F134="","",E134*F134)</f>
        <v>6753.3</v>
      </c>
      <c r="H134" t="str">
        <v>25.305.1109</v>
      </c>
      <c r="I134" t="str">
        <v>75</v>
      </c>
      <c r="J134" t="str">
        <v>m</v>
      </c>
      <c r="K134" s="2">
        <v>225.11</v>
      </c>
      <c r="L134" s="2">
        <v>89.33</v>
      </c>
      <c r="M134" s="1">
        <v>27</v>
      </c>
      <c r="N134" t="str">
        <v>mekanik</v>
      </c>
      <c r="O134" t="str">
        <v>25.305.1110 (27)</v>
      </c>
    </row>
    <row r="135" ht="75" customHeight="1" xml:space="preserve">
      <c r="A135" s="1">
        <v>130</v>
      </c>
      <c r="B135" s="1">
        <v>130</v>
      </c>
      <c r="C135" t="str" xml:space="preserve">
        <v xml:space="preserve">Pn 20 polipropilen temiz su boru 1/2" 20/3,4 mm Polipropilen temiz su boruları (Bina içinde_x000d_
fizyoterm kaynak ve vidalı, %45 eklenmiş)</v>
      </c>
      <c r="D135" t="str">
        <v>metre</v>
      </c>
      <c r="E135" s="1">
        <v>281</v>
      </c>
      <c r="F135" s="2">
        <v>85.95</v>
      </c>
      <c r="G135" s="2">
        <f>IF(F135="","",E135*F135)</f>
        <v>24151.95</v>
      </c>
      <c r="H135" t="str">
        <v>25.305.2101</v>
      </c>
      <c r="I135" t="str">
        <v>1/2"</v>
      </c>
      <c r="J135" t="str">
        <v>m</v>
      </c>
      <c r="K135" s="2">
        <v>85.95</v>
      </c>
      <c r="L135" s="2">
        <v>46.09</v>
      </c>
      <c r="M135" s="1">
        <v>33</v>
      </c>
      <c r="N135" t="str">
        <v>mekanik</v>
      </c>
      <c r="O135" t="str">
        <v>25.305.2108 (33)</v>
      </c>
    </row>
    <row r="136" ht="75" customHeight="1" xml:space="preserve">
      <c r="A136" s="1">
        <v>131</v>
      </c>
      <c r="B136" s="1">
        <v>131</v>
      </c>
      <c r="C136" t="str" xml:space="preserve">
        <v xml:space="preserve">Pn 20 polipropilen temiz su boru 3/4" 25/4,2 mm Polipropilen temiz su boruları (Bina içinde fizyoterm kaynak ve vidalı, %45_x000d_
eklenmiş)</v>
      </c>
      <c r="D136" t="str">
        <v>metre</v>
      </c>
      <c r="E136" s="1">
        <v>169</v>
      </c>
      <c r="F136" s="2">
        <v>134.19</v>
      </c>
      <c r="G136" s="2">
        <f>IF(F136="","",E136*F136)</f>
        <v>22678.11</v>
      </c>
      <c r="H136" t="str">
        <v>25.305.2102</v>
      </c>
      <c r="I136" t="str">
        <v>3/4"</v>
      </c>
      <c r="J136" t="str">
        <v>m</v>
      </c>
      <c r="K136" s="2">
        <v>134.19</v>
      </c>
      <c r="L136" s="2">
        <v>74.31</v>
      </c>
      <c r="M136" s="1">
        <v>29</v>
      </c>
      <c r="N136" t="str">
        <v>mekanik</v>
      </c>
      <c r="O136" t="str">
        <v>25.305.2109 (28)</v>
      </c>
    </row>
    <row r="137" ht="75" customHeight="1" xml:space="preserve">
      <c r="A137" s="1">
        <v>132</v>
      </c>
      <c r="B137" s="1">
        <v>132</v>
      </c>
      <c r="C137" t="str" xml:space="preserve">
        <v xml:space="preserve">Pn 20 polipropilen 1" ø32/5,4 mm temiz su boruları (Bina içinde fizyoterm kaynak ve vidalı olarak döşenmiş polipropilen boru_x000d_
montaj malzemesi bedeli dahil)</v>
      </c>
      <c r="D137" t="str">
        <v>metre</v>
      </c>
      <c r="E137" s="1">
        <v>53</v>
      </c>
      <c r="F137" s="2">
        <v>85.95</v>
      </c>
      <c r="G137" s="2">
        <f>IF(F137="","",E137*F137)</f>
        <v>4555.35</v>
      </c>
      <c r="H137" t="str">
        <v>25.305.2101</v>
      </c>
      <c r="I137" t="str">
        <v>1/2"</v>
      </c>
      <c r="J137" t="str">
        <v>m</v>
      </c>
      <c r="K137" s="2">
        <v>85.95</v>
      </c>
      <c r="L137" s="2">
        <v>46.09</v>
      </c>
      <c r="M137" s="1">
        <v>23</v>
      </c>
      <c r="N137" t="str">
        <v>mekanik</v>
      </c>
      <c r="O137" t="str">
        <v>25.305.2103 (23)</v>
      </c>
    </row>
    <row r="138" ht="60" customHeight="1" xml:space="preserve">
      <c r="A138" s="1">
        <v>133</v>
      </c>
      <c r="B138" s="1">
        <v>133</v>
      </c>
      <c r="C138" t="str" xml:space="preserve">
        <v xml:space="preserve">Sert PVC plastik pis su borusu (geçme muflu, çap: 75-70 mm, et kalınlığı 3 mm) (Montaj_x000d_
malzemesi bedeli, %35 eklenmiş)</v>
      </c>
      <c r="D138" t="str">
        <v>metre</v>
      </c>
      <c r="E138" s="1">
        <v>115</v>
      </c>
      <c r="F138" s="2">
        <v>249.76</v>
      </c>
      <c r="G138" s="2">
        <f>IF(F138="","",E138*F138)</f>
        <v>28722.4</v>
      </c>
      <c r="H138" t="str">
        <v>25.305.6102</v>
      </c>
      <c r="I138" t="str">
        <v>70 - 75</v>
      </c>
      <c r="J138" t="str">
        <v>&gt; m</v>
      </c>
      <c r="K138" s="2">
        <v>249.76</v>
      </c>
      <c r="L138" s="2">
        <v>75.08</v>
      </c>
      <c r="M138" s="1">
        <v>36</v>
      </c>
      <c r="N138" t="str">
        <v>mekanik</v>
      </c>
      <c r="O138" t="str">
        <v>25.305.6202 (24)</v>
      </c>
    </row>
    <row r="139" ht="60" customHeight="1" xml:space="preserve">
      <c r="A139" s="1">
        <v>134</v>
      </c>
      <c r="B139" s="1">
        <v>134</v>
      </c>
      <c r="C139" t="str" xml:space="preserve">
        <v xml:space="preserve">Sert PVC plastik pis su borusu (geçme muflu, çap: 100-110 mm, et kalınlığı 3 mm) (Montaj_x000d_
malzemesi bedeli, %35 eklenmiş)</v>
      </c>
      <c r="D139" t="str">
        <v>metre</v>
      </c>
      <c r="E139" s="1">
        <v>171</v>
      </c>
      <c r="F139" s="2">
        <v>321.88</v>
      </c>
      <c r="G139" s="2">
        <f>IF(F139="","",E139*F139)</f>
        <v>55041.48</v>
      </c>
      <c r="H139" t="str">
        <v>25.305.6103</v>
      </c>
      <c r="I139" t="str">
        <v>100 - 110</v>
      </c>
      <c r="J139" t="str">
        <v>&gt; m</v>
      </c>
      <c r="K139" s="2">
        <v>321.88</v>
      </c>
      <c r="L139" s="2">
        <v>118.6</v>
      </c>
      <c r="M139" s="1">
        <v>37</v>
      </c>
      <c r="N139" t="str">
        <v>mekanik</v>
      </c>
      <c r="O139" t="str">
        <v>25.305.6203 (24)</v>
      </c>
    </row>
    <row r="140" ht="60" customHeight="1" xml:space="preserve">
      <c r="A140" s="1">
        <v>135</v>
      </c>
      <c r="B140" s="1">
        <v>135</v>
      </c>
      <c r="C140" t="str" xml:space="preserve">
        <v xml:space="preserve">Sert PVC plastik pis su borusu (geçme muflu, çap: 125 mm, et kalınlığı 3,2 mm) (Montaj_x000d_
malzemesi bedeli, %35 eklenmiş)</v>
      </c>
      <c r="D140" t="str">
        <v>metre</v>
      </c>
      <c r="E140" s="1">
        <v>18</v>
      </c>
      <c r="F140" s="2">
        <v>388.58</v>
      </c>
      <c r="G140" s="2">
        <f>IF(F140="","",E140*F140)</f>
        <v>6994.44</v>
      </c>
      <c r="H140" t="str">
        <v>25.305.6104</v>
      </c>
      <c r="I140" t="str">
        <v>125</v>
      </c>
      <c r="J140" t="str">
        <v>&gt; m</v>
      </c>
      <c r="K140" s="2">
        <v>388.58</v>
      </c>
      <c r="L140" s="2">
        <v>118.6</v>
      </c>
      <c r="M140" s="1">
        <v>31</v>
      </c>
      <c r="N140" t="str">
        <v>mekanik</v>
      </c>
      <c r="O140" t="str">
        <v>25.305.6204 (26)</v>
      </c>
    </row>
    <row r="141" ht="30" customHeight="1" xml:space="preserve">
      <c r="A141" s="1">
        <v>136</v>
      </c>
      <c r="B141" s="1">
        <v>136</v>
      </c>
      <c r="C141" t="str" xml:space="preserve">
        <v xml:space="preserve">Klapeli kilitli tip, 100 Ø mm,_x000d_
ROGAR KLAPESİ</v>
      </c>
      <c r="D141" t="str">
        <v>adet</v>
      </c>
      <c r="E141" s="1">
        <v>2</v>
      </c>
      <c r="F141" s="2">
        <v>780.74</v>
      </c>
      <c r="G141" s="2">
        <f>IF(F141="","",E141*F141)</f>
        <v>1561.48</v>
      </c>
      <c r="H141" t="str">
        <v>25.312.1205</v>
      </c>
      <c r="I141" t="str">
        <v>Klapeli kilitli tip; 100 Ø mm</v>
      </c>
      <c r="J141" t="str">
        <v>Ad</v>
      </c>
      <c r="K141" s="2">
        <v>780.74</v>
      </c>
      <c r="L141" s="2">
        <v>103.58</v>
      </c>
      <c r="M141" s="1">
        <v>76</v>
      </c>
      <c r="N141" t="str">
        <v>mekanik</v>
      </c>
      <c r="O141" t="str">
        <v>25.312.1201 (55)</v>
      </c>
    </row>
    <row r="142" ht="30" customHeight="1" xml:space="preserve">
      <c r="A142" s="1">
        <v>137</v>
      </c>
      <c r="B142" s="1">
        <v>137</v>
      </c>
      <c r="C142" t="str" xml:space="preserve">
        <v xml:space="preserve">Klapeli kilitli tip, 125 Ø mm,_x000d_
ROGAR KLAPESİ</v>
      </c>
      <c r="D142" t="str">
        <v>adet</v>
      </c>
      <c r="E142" s="1">
        <v>2</v>
      </c>
      <c r="F142" s="2">
        <v>843.3</v>
      </c>
      <c r="G142" s="2">
        <f>IF(F142="","",E142*F142)</f>
        <v>1686.6</v>
      </c>
      <c r="H142" t="str">
        <v>25.312.1206</v>
      </c>
      <c r="I142" t="str">
        <v>Klapeli kilitli tip; 125 Ø mm</v>
      </c>
      <c r="J142" t="str">
        <v>Ad</v>
      </c>
      <c r="K142" s="2">
        <v>843.3</v>
      </c>
      <c r="L142" s="2">
        <v>141.11</v>
      </c>
      <c r="M142" s="1">
        <v>76</v>
      </c>
      <c r="N142" t="str">
        <v>mekanik</v>
      </c>
      <c r="O142" t="str">
        <v>25.312.1202 (56)</v>
      </c>
    </row>
    <row r="143" ht="30" customHeight="1">
      <c r="A143" s="1">
        <v>138</v>
      </c>
      <c r="B143" s="1">
        <v>138</v>
      </c>
      <c r="C143" t="str">
        <v>70 Ø mm, Havalandırma boru ve şapkası</v>
      </c>
      <c r="D143" t="str">
        <v>adet</v>
      </c>
      <c r="E143" s="1">
        <v>4</v>
      </c>
      <c r="F143" s="2">
        <v>291.28</v>
      </c>
      <c r="G143" s="2">
        <f>IF(F143="","",E143*F143)</f>
        <v>1165.12</v>
      </c>
      <c r="H143" t="str">
        <v>25.312.2101</v>
      </c>
      <c r="I143" t="str">
        <v>70 Ø mm</v>
      </c>
      <c r="J143" t="str">
        <v>Ad</v>
      </c>
      <c r="K143" s="2">
        <v>291.28</v>
      </c>
      <c r="L143" s="2">
        <v>118.18</v>
      </c>
      <c r="M143" s="1">
        <v>88</v>
      </c>
      <c r="N143" t="str">
        <v>mekanik</v>
      </c>
    </row>
    <row r="144" ht="30" customHeight="1">
      <c r="A144" s="1">
        <v>139</v>
      </c>
      <c r="B144" s="1">
        <v>139</v>
      </c>
      <c r="C144" t="str">
        <v>100 Ø mm, Havalandırma boru ve şapkası</v>
      </c>
      <c r="D144" t="str">
        <v>adet</v>
      </c>
      <c r="E144" s="1">
        <v>3</v>
      </c>
      <c r="F144" s="2">
        <v>405.28</v>
      </c>
      <c r="G144" s="2">
        <f>IF(F144="","",E144*F144)</f>
        <v>1215.84</v>
      </c>
      <c r="H144" t="str">
        <v>25.312.2102</v>
      </c>
      <c r="I144" t="str">
        <v>100 Ø mm</v>
      </c>
      <c r="J144" t="str">
        <v>Ad</v>
      </c>
      <c r="K144" s="2">
        <v>405.28</v>
      </c>
      <c r="L144" s="2">
        <v>187.7</v>
      </c>
      <c r="M144" s="1">
        <v>88</v>
      </c>
      <c r="N144" t="str">
        <v>mekanik</v>
      </c>
    </row>
    <row r="145" ht="60" customHeight="1" xml:space="preserve">
      <c r="A145" s="1">
        <v>140</v>
      </c>
      <c r="B145" s="1">
        <v>140</v>
      </c>
      <c r="C145" t="str" xml:space="preserve">
        <v xml:space="preserve">Otomatik Pis Su Havalık Cihazı Ø=100 mm'ye kadar (Ø=100 mm dahil), Otomatik Pis Su Havalık_x000d_
Cihazı</v>
      </c>
      <c r="D145" t="str">
        <v>adet</v>
      </c>
      <c r="E145" s="1">
        <v>2</v>
      </c>
      <c r="F145" s="2">
        <v>5321.88</v>
      </c>
      <c r="G145" s="2">
        <f>IF(F145="","",E145*F145)</f>
        <v>10643.76</v>
      </c>
      <c r="H145" t="str">
        <v>25.312.2202</v>
      </c>
      <c r="I145" t="str">
        <v>Otomatik Pis Su Havalık Cihazı Ø 100 mm'ye kadar (Ø 100 mm dahil)</v>
      </c>
      <c r="J145" t="str">
        <v>Ad</v>
      </c>
      <c r="K145" s="2">
        <v>5321.88</v>
      </c>
      <c r="L145" s="2">
        <v>300.31</v>
      </c>
      <c r="M145" s="1">
        <v>95</v>
      </c>
      <c r="N145" t="str">
        <v>mekanik</v>
      </c>
      <c r="O145" t="str">
        <v>25.400.9202 (28)</v>
      </c>
    </row>
    <row r="146" ht="60" customHeight="1" xml:space="preserve">
      <c r="A146" s="1">
        <v>141</v>
      </c>
      <c r="B146" s="1">
        <v>141</v>
      </c>
      <c r="C146" t="str" xml:space="preserve">
        <v xml:space="preserve">15 Ø mm (1/2"), Pirinç, preste imal edilmiş teflon (PTFE) contalı, tam geçişli, vidalı; (TS_x000d_
EN 13547)</v>
      </c>
      <c r="D146" t="str">
        <v>adet</v>
      </c>
      <c r="E146" s="1">
        <v>37</v>
      </c>
      <c r="F146" s="2">
        <v>464.4</v>
      </c>
      <c r="G146" s="2">
        <f>IF(F146="","",E146*F146)</f>
        <v>17182.8</v>
      </c>
      <c r="H146" t="str">
        <v>25.320.2101</v>
      </c>
      <c r="I146" t="str">
        <v>15 Ø mm (1/2")</v>
      </c>
      <c r="J146" t="str">
        <v/>
      </c>
      <c r="K146" s="2">
        <v>464.4</v>
      </c>
      <c r="L146" s="2">
        <v>187.7</v>
      </c>
      <c r="M146" s="1">
        <v>90</v>
      </c>
      <c r="N146" t="str">
        <v>mekanik</v>
      </c>
      <c r="O146" t="str">
        <v>25.320.3101 (65)</v>
      </c>
    </row>
    <row r="147" ht="60" customHeight="1" xml:space="preserve">
      <c r="A147" s="1">
        <v>142</v>
      </c>
      <c r="B147" s="1">
        <v>142</v>
      </c>
      <c r="C147" t="str" xml:space="preserve">
        <v xml:space="preserve">20 Ø mm (3/4"), Pirinç, preste imal edilmiş teflon (PTFE) contalı, tam geçişli, vidalı; (TS_x000d_
EN 13547)</v>
      </c>
      <c r="D147" t="str">
        <v>adet</v>
      </c>
      <c r="E147" s="1">
        <v>31</v>
      </c>
      <c r="F147" s="2">
        <v>597.89</v>
      </c>
      <c r="G147" s="2">
        <f>IF(F147="","",E147*F147)</f>
        <v>18534.59</v>
      </c>
      <c r="H147" t="str">
        <v>25.320.2102</v>
      </c>
      <c r="I147" t="str">
        <v>20 Ø mm (3/4")</v>
      </c>
      <c r="J147" t="str">
        <v/>
      </c>
      <c r="K147" s="2">
        <v>597.89</v>
      </c>
      <c r="L147" s="2">
        <v>225.24</v>
      </c>
      <c r="M147" s="1">
        <v>90</v>
      </c>
      <c r="N147" t="str">
        <v>mekanik</v>
      </c>
      <c r="O147" t="str">
        <v>25.320.3102 (65)</v>
      </c>
    </row>
    <row r="148" ht="60" customHeight="1" xml:space="preserve">
      <c r="A148" s="1">
        <v>143</v>
      </c>
      <c r="B148" s="1">
        <v>143</v>
      </c>
      <c r="C148" t="str" xml:space="preserve">
        <v xml:space="preserve">25 Ø mm (1"), Pirinç, preste imal edilmiş teflon (PTFE) contalı, tam geçişli, vidalı; (TS EN_x000d_
13547)</v>
      </c>
      <c r="D148" t="str">
        <v>adet</v>
      </c>
      <c r="E148" s="1">
        <v>9</v>
      </c>
      <c r="F148" s="2">
        <v>866.25</v>
      </c>
      <c r="G148" s="2">
        <f>IF(F148="","",E148*F148)</f>
        <v>7796.25</v>
      </c>
      <c r="H148" t="str">
        <v>25.320.2103</v>
      </c>
      <c r="I148" t="str">
        <v>25 Ø mm (1")</v>
      </c>
      <c r="J148" t="str">
        <v/>
      </c>
      <c r="K148" s="2">
        <v>866.25</v>
      </c>
      <c r="L148" s="2">
        <v>225.24</v>
      </c>
      <c r="M148" s="1">
        <v>89</v>
      </c>
      <c r="N148" t="str">
        <v>mekanik</v>
      </c>
      <c r="O148" t="str">
        <v>25.320.3103 (70)</v>
      </c>
    </row>
    <row r="149" ht="60" customHeight="1" xml:space="preserve">
      <c r="A149" s="1">
        <v>144</v>
      </c>
      <c r="B149" s="1">
        <v>144</v>
      </c>
      <c r="C149" t="str" xml:space="preserve">
        <v xml:space="preserve">40 Ø mm (1 1/2"), Pirinç, preste imal edilmiş teflon (PTFE) contalı, tam geçişli, vidalı; (TS_x000d_
EN 13547)</v>
      </c>
      <c r="D149" t="str">
        <v>adet</v>
      </c>
      <c r="E149" s="1">
        <v>6</v>
      </c>
      <c r="F149" s="2">
        <v>1647.69</v>
      </c>
      <c r="G149" s="2">
        <f>IF(F149="","",E149*F149)</f>
        <v>9886.14</v>
      </c>
      <c r="H149" t="str">
        <v>25.320.2105</v>
      </c>
      <c r="I149" t="str">
        <v>40 Ø mm (1 1/2")</v>
      </c>
      <c r="J149" t="str">
        <v/>
      </c>
      <c r="K149" s="2">
        <v>1647.69</v>
      </c>
      <c r="L149" s="2">
        <v>300.31</v>
      </c>
      <c r="M149" s="1">
        <v>80</v>
      </c>
      <c r="N149" t="str">
        <v>mekanik</v>
      </c>
      <c r="O149" t="str">
        <v>25.320.2101 (70)</v>
      </c>
    </row>
    <row r="150" ht="60" customHeight="1" xml:space="preserve">
      <c r="A150" s="1">
        <v>145</v>
      </c>
      <c r="B150" s="1">
        <v>145</v>
      </c>
      <c r="C150" t="str" xml:space="preserve">
        <v xml:space="preserve">50 Ø mm (2"), Pirinç, preste imal edilmiş teflon (PTFE) contalı, tam geçişli, vidalı; (TS EN_x000d_
13547)</v>
      </c>
      <c r="D150" t="str">
        <v>adet</v>
      </c>
      <c r="E150" s="1">
        <v>3</v>
      </c>
      <c r="F150" s="2">
        <v>2605.73</v>
      </c>
      <c r="G150" s="2">
        <f>IF(F150="","",E150*F150)</f>
        <v>7817.19</v>
      </c>
      <c r="H150" t="str">
        <v>25.320.2106</v>
      </c>
      <c r="I150" t="str">
        <v>50 Ø mm (2")</v>
      </c>
      <c r="J150" t="str">
        <v/>
      </c>
      <c r="K150" s="2">
        <v>2605.73</v>
      </c>
      <c r="L150" s="2">
        <v>300.31</v>
      </c>
      <c r="M150" s="1">
        <v>89</v>
      </c>
      <c r="N150" t="str">
        <v>mekanik</v>
      </c>
      <c r="O150" t="str">
        <v>25.320.3106 (70)</v>
      </c>
    </row>
    <row r="151" ht="75" customHeight="1" xml:space="preserve">
      <c r="A151" s="1">
        <v>146</v>
      </c>
      <c r="B151" s="1">
        <v>146</v>
      </c>
      <c r="C151" t="str" xml:space="preserve">
        <v xml:space="preserve">65 Ø mm, PN 16, Gövdesi sfero döküm, küresi dolu paslanmaz çelik, teflon contalı, tam geçişli, wafer bağlantılı, KÜRESEL_x000d_
VANALAR (TS 3148)</v>
      </c>
      <c r="D151" t="str">
        <v>adet</v>
      </c>
      <c r="E151" s="1">
        <v>1</v>
      </c>
      <c r="F151" s="2">
        <v>6150.04</v>
      </c>
      <c r="G151" s="2">
        <f>IF(F151="","",E151*F151)</f>
        <v>6150.04</v>
      </c>
      <c r="H151" t="str">
        <v>25.320.2203</v>
      </c>
      <c r="I151" t="str">
        <v>65 Ø mm</v>
      </c>
      <c r="J151" t="str">
        <v/>
      </c>
      <c r="K151" s="2">
        <v>6150.04</v>
      </c>
      <c r="L151" s="2">
        <v>620.09</v>
      </c>
      <c r="M151" s="1">
        <v>90</v>
      </c>
      <c r="N151" t="str">
        <v>mekanik</v>
      </c>
      <c r="O151" t="str">
        <v>25.320.2202 (66)</v>
      </c>
    </row>
    <row r="152" ht="75" customHeight="1" xml:space="preserve">
      <c r="A152" s="1">
        <v>147</v>
      </c>
      <c r="B152" s="1">
        <v>147</v>
      </c>
      <c r="C152" t="str" xml:space="preserve">
        <v xml:space="preserve">80 Ø mm, PN 16, Gövdesi sfero döküm, küresi dolu paslanmaz çelik, teflon contalı, tam geçişli, wafer bağlantılı, KÜRESEL_x000d_
VANALAR (TS 3148)</v>
      </c>
      <c r="D152" t="str">
        <v>adet</v>
      </c>
      <c r="E152" s="1">
        <v>6</v>
      </c>
      <c r="F152" s="2">
        <v>8730.73</v>
      </c>
      <c r="G152" s="2">
        <f>IF(F152="","",E152*F152)</f>
        <v>52384.38</v>
      </c>
      <c r="H152" t="str">
        <v>25.320.2204</v>
      </c>
      <c r="I152" t="str">
        <v>80 Ø mm</v>
      </c>
      <c r="J152" t="str">
        <v/>
      </c>
      <c r="K152" s="2">
        <v>8730.73</v>
      </c>
      <c r="L152" s="2">
        <v>882.85</v>
      </c>
      <c r="M152" s="1">
        <v>90</v>
      </c>
      <c r="N152" t="str">
        <v>mekanik</v>
      </c>
      <c r="O152" t="str">
        <v>25.320.2202 (66)</v>
      </c>
    </row>
    <row r="153" ht="105" customHeight="1" xml:space="preserve">
      <c r="A153" s="1">
        <v>148</v>
      </c>
      <c r="B153" s="1">
        <v>148</v>
      </c>
      <c r="C153" t="str" xml:space="preserve">
        <v xml:space="preserve">25 Ø mm (1"), PN 10-16 Gövdesi pik küresi dolu paslanmaz çelikten, tam geçişli, paslanmaz çelikten veya teflon tabak yay takviyeli contalı, üç parçalı, vidalı, KÜRESEL VANALAR_x000d_
(TS 3148)</v>
      </c>
      <c r="D153" t="str">
        <v>adet</v>
      </c>
      <c r="E153" s="1">
        <v>6</v>
      </c>
      <c r="F153" s="2">
        <v>2967.96</v>
      </c>
      <c r="G153" s="2">
        <f>IF(F153="","",E153*F153)</f>
        <v>17807.76</v>
      </c>
      <c r="H153" t="str">
        <v>25.320.2403</v>
      </c>
      <c r="I153" t="str">
        <v>25 Ø mm. (1")</v>
      </c>
      <c r="J153" t="str">
        <v/>
      </c>
      <c r="K153" s="2">
        <v>2967.96</v>
      </c>
      <c r="L153" s="2">
        <v>253.74</v>
      </c>
      <c r="M153" s="1">
        <v>96</v>
      </c>
      <c r="N153" t="str">
        <v>mekanik</v>
      </c>
      <c r="O153" t="str">
        <v>25.320.2401 (80)</v>
      </c>
    </row>
    <row r="154" ht="105" customHeight="1" xml:space="preserve">
      <c r="A154" s="1">
        <v>149</v>
      </c>
      <c r="B154" s="1">
        <v>149</v>
      </c>
      <c r="C154" t="str" xml:space="preserve">
        <v xml:space="preserve">32 Ø mm (1 1/4"), PN 10-16_x000d_
Gövdesi pik küresi dolu paslanmaz çelikten, tam geçişli, paslanmaz çelikten veya teflon tabak yay takviyeli contalı, üç parçalı, vidalı, KÜRESEL_x000d_
VANALAR (TS 3148)</v>
      </c>
      <c r="D154" t="str">
        <v>adet</v>
      </c>
      <c r="E154" s="1">
        <v>8</v>
      </c>
      <c r="F154" s="2">
        <v>3903.75</v>
      </c>
      <c r="G154" s="2">
        <f>IF(F154="","",E154*F154)</f>
        <v>31230</v>
      </c>
      <c r="H154" t="str">
        <v>25.320.2404</v>
      </c>
      <c r="I154" t="str">
        <v>32 Ø mm. (1 1/4")</v>
      </c>
      <c r="J154" t="str">
        <v/>
      </c>
      <c r="K154" s="2">
        <v>3903.75</v>
      </c>
      <c r="L154" s="2">
        <v>291.28</v>
      </c>
      <c r="M154" s="1">
        <v>83</v>
      </c>
      <c r="N154" t="str">
        <v>mekanik</v>
      </c>
      <c r="O154" t="str">
        <v>25.320.2403 (74)</v>
      </c>
    </row>
    <row r="155" ht="30" customHeight="1" xml:space="preserve">
      <c r="A155" s="1">
        <v>150</v>
      </c>
      <c r="B155" s="1">
        <v>150</v>
      </c>
      <c r="C155" t="str" xml:space="preserve">
        <v xml:space="preserve">80 Ø mm, Flatörlü Seviye_x000d_
Kontrol Vanası, PN16, flanşlı</v>
      </c>
      <c r="D155" t="str">
        <v>adet</v>
      </c>
      <c r="E155" s="1">
        <v>1</v>
      </c>
      <c r="F155" s="2">
        <v>22973.44</v>
      </c>
      <c r="G155" s="2">
        <f>IF(F155="","",E155*F155)</f>
        <v>22973.44</v>
      </c>
      <c r="H155" t="str">
        <v>25.320.9203</v>
      </c>
      <c r="I155" t="str">
        <v>80 Ø mm</v>
      </c>
      <c r="J155" t="str">
        <v>Ad</v>
      </c>
      <c r="K155" s="2">
        <v>22973.44</v>
      </c>
      <c r="L155" s="2">
        <v>850.88</v>
      </c>
      <c r="M155" s="1">
        <v>93</v>
      </c>
      <c r="N155" t="str">
        <v>mekanik</v>
      </c>
      <c r="O155" t="str">
        <v>25.320.9201 (64)</v>
      </c>
    </row>
    <row r="156" ht="90" customHeight="1" xml:space="preserve">
      <c r="A156" s="1">
        <v>151</v>
      </c>
      <c r="B156" s="1">
        <v>151</v>
      </c>
      <c r="C156" t="str" xml:space="preserve">
        <v xml:space="preserve">65 Ø mm Flanşlı, Pislik tutucu, PN-16,buhar ve kızgın su için, gövdesi pik döküm Ø=65 den büyük çaplar laterna takviyeli iç_x000d_
süzgeci paslanmaz çelik, vidalı veya flanşlı</v>
      </c>
      <c r="D156" t="str">
        <v>adet</v>
      </c>
      <c r="E156" s="1">
        <v>1</v>
      </c>
      <c r="F156" s="2">
        <v>11807.85</v>
      </c>
      <c r="G156" s="2">
        <f>IF(F156="","",E156*F156)</f>
        <v>11807.85</v>
      </c>
      <c r="H156" t="str">
        <v>25.325.1209</v>
      </c>
      <c r="I156" t="str">
        <v>100 Ø mm. Flanşlı</v>
      </c>
      <c r="J156" t="str">
        <v>Ad</v>
      </c>
      <c r="K156" s="2">
        <v>11807.85</v>
      </c>
      <c r="L156" s="2">
        <v>957.93</v>
      </c>
      <c r="M156" s="1">
        <v>90</v>
      </c>
      <c r="N156" t="str">
        <v>mekanik</v>
      </c>
      <c r="O156" t="str">
        <v>25.325.1208 (90)</v>
      </c>
    </row>
    <row r="157" ht="90" customHeight="1" xml:space="preserve">
      <c r="A157" s="1">
        <v>152</v>
      </c>
      <c r="B157" s="1">
        <v>152</v>
      </c>
      <c r="C157" t="str" xml:space="preserve">
        <v xml:space="preserve">80 Ø mm Flanşlı, Pislik tutucu, PN-16,buhar ve kızgın su için, gövdesi pik döküm Ø=65 den büyük çaplar laterna takviyeli iç süzgeci paslanmaz çelik, vidalı_x000d_
veya flanşlı</v>
      </c>
      <c r="D157" t="str">
        <v>adet</v>
      </c>
      <c r="E157" s="1">
        <v>1</v>
      </c>
      <c r="F157" s="2">
        <v>8743.25</v>
      </c>
      <c r="G157" s="2">
        <f>IF(F157="","",E157*F157)</f>
        <v>8743.25</v>
      </c>
      <c r="H157" t="str">
        <v>25.325.1208</v>
      </c>
      <c r="I157" t="str">
        <v>80 Ø mm. Flanşlı</v>
      </c>
      <c r="J157" t="str">
        <v>Ad</v>
      </c>
      <c r="K157" s="2">
        <v>8743.25</v>
      </c>
      <c r="L157" s="2">
        <v>850.88</v>
      </c>
      <c r="M157" s="1">
        <v>93</v>
      </c>
      <c r="N157" t="str">
        <v>mekanik</v>
      </c>
      <c r="O157" t="str">
        <v>25.325.1209 (76)</v>
      </c>
    </row>
    <row r="158" ht="45" customHeight="1">
      <c r="A158" s="1">
        <v>153</v>
      </c>
      <c r="B158" s="1">
        <v>153</v>
      </c>
      <c r="C158" t="str">
        <v>25 Ø mm (1"), Pirinç pres döküm vidalı, GERİ TEPME VENTİLLERİ (Sıcak ve soğuk su</v>
      </c>
      <c r="D158" t="str">
        <v>adet</v>
      </c>
      <c r="E158" s="1">
        <v>2</v>
      </c>
      <c r="F158" s="2">
        <v>752.23</v>
      </c>
      <c r="G158" s="2">
        <f>IF(F158="","",E158*F158)</f>
        <v>1504.46</v>
      </c>
      <c r="H158" t="str">
        <v>25.325.2103</v>
      </c>
      <c r="I158" t="str">
        <v>25 Ø mm (1")</v>
      </c>
      <c r="J158" t="str">
        <v>Ad</v>
      </c>
      <c r="K158" s="2">
        <v>752.23</v>
      </c>
      <c r="L158" s="2">
        <v>225.24</v>
      </c>
      <c r="M158" s="1">
        <v>87</v>
      </c>
      <c r="N158" t="str">
        <v>mekanik</v>
      </c>
      <c r="O158" t="str">
        <v>25.325.2203 (62)</v>
      </c>
    </row>
    <row r="159" ht="15" customHeight="1">
      <c r="C159" t="str">
        <v>için) (TS EN 1074-3)</v>
      </c>
    </row>
    <row r="160" ht="60" customHeight="1" xml:space="preserve">
      <c r="A160" s="1">
        <v>154</v>
      </c>
      <c r="B160" s="1">
        <v>154</v>
      </c>
      <c r="C160" t="str" xml:space="preserve">
        <v xml:space="preserve">32 Ø mm (1 1/4"), Pirinç pres döküm vidalı, GERİ TEPME VENTİLLERİ (Sıcak ve soğuk su_x000d_
için) (TS EN 1074-3)</v>
      </c>
      <c r="D160" t="str">
        <v>adet</v>
      </c>
      <c r="E160" s="1">
        <v>2</v>
      </c>
      <c r="F160" s="2">
        <v>1001.13</v>
      </c>
      <c r="G160" s="2">
        <f>IF(F160="","",E160*F160)</f>
        <v>2002.26</v>
      </c>
      <c r="H160" t="str">
        <v>25.325.2104</v>
      </c>
      <c r="I160" t="str">
        <v>32 Ø mm (1 1/4")</v>
      </c>
      <c r="J160" t="str">
        <v>Ad</v>
      </c>
      <c r="K160" s="2">
        <v>1001.13</v>
      </c>
      <c r="L160" s="2">
        <v>262.78</v>
      </c>
      <c r="M160" s="1">
        <v>84</v>
      </c>
      <c r="N160" t="str">
        <v>mekanik</v>
      </c>
      <c r="O160" t="str">
        <v>25.325.2204 (72)</v>
      </c>
    </row>
    <row r="161" ht="60" customHeight="1" xml:space="preserve">
      <c r="A161" s="1">
        <v>155</v>
      </c>
      <c r="B161" s="1">
        <v>155</v>
      </c>
      <c r="C161" t="str" xml:space="preserve">
        <v xml:space="preserve">40 Ø mm (1 1/2"), Pirinç pres döküm vidalı, GERİ TEPME VENTİLLERİ (Sıcak ve soğuk su_x000d_
için) (TS EN 1074-3)</v>
      </c>
      <c r="D161" t="str">
        <v>adet</v>
      </c>
      <c r="E161" s="1">
        <v>2</v>
      </c>
      <c r="F161" s="2">
        <v>1361.25</v>
      </c>
      <c r="G161" s="2">
        <f>IF(F161="","",E161*F161)</f>
        <v>2722.5</v>
      </c>
      <c r="H161" t="str">
        <v>25.325.2105</v>
      </c>
      <c r="I161" t="str">
        <v>40 Ø mm (1 1/2")</v>
      </c>
      <c r="J161" t="str">
        <v>Ad</v>
      </c>
      <c r="K161" s="2">
        <v>1361.25</v>
      </c>
      <c r="L161" s="2">
        <v>300.31</v>
      </c>
      <c r="M161" s="1">
        <v>84</v>
      </c>
      <c r="N161" t="str">
        <v>mekanik</v>
      </c>
      <c r="O161" t="str">
        <v>25.325.2101 (74)</v>
      </c>
    </row>
    <row r="162" ht="60" customHeight="1" xml:space="preserve">
      <c r="A162" s="1">
        <v>156</v>
      </c>
      <c r="B162" s="1">
        <v>156</v>
      </c>
      <c r="C162" t="str" xml:space="preserve">
        <v xml:space="preserve">50 Ø mm (2"), Pirinç pres döküm vidalı, GERİ TEPME VENTİLLERİ (Sıcak ve soğuk su_x000d_
için) (TS EN 1074-3)</v>
      </c>
      <c r="D162" t="str">
        <v>adet</v>
      </c>
      <c r="E162" s="1">
        <v>1</v>
      </c>
      <c r="F162" s="2">
        <v>1751.98</v>
      </c>
      <c r="G162" s="2">
        <f>IF(F162="","",E162*F162)</f>
        <v>1751.98</v>
      </c>
      <c r="H162" t="str">
        <v>25.325.2106</v>
      </c>
      <c r="I162" t="str">
        <v>50 Ø mm (2")</v>
      </c>
      <c r="J162" t="str">
        <v>Ad</v>
      </c>
      <c r="K162" s="2">
        <v>1751.98</v>
      </c>
      <c r="L162" s="2">
        <v>300.31</v>
      </c>
      <c r="M162" s="1">
        <v>94</v>
      </c>
      <c r="N162" t="str">
        <v>mekanik</v>
      </c>
      <c r="O162" t="str">
        <v>25.325.2206 (69)</v>
      </c>
    </row>
    <row r="163" ht="60" customHeight="1" xml:space="preserve">
      <c r="A163" s="1">
        <v>157</v>
      </c>
      <c r="B163" s="1">
        <v>157</v>
      </c>
      <c r="C163" t="str" xml:space="preserve">
        <v xml:space="preserve">80 Ø mm, Döküm gövdeli, flanşlı, GERİ TEPME VENTİLLERİ (Sıcak ve soğuk su_x000d_
için) (TS EN 1074-3)</v>
      </c>
      <c r="D163" t="str">
        <v>adet</v>
      </c>
      <c r="E163" s="1">
        <v>2</v>
      </c>
      <c r="F163" s="2">
        <v>14688.95</v>
      </c>
      <c r="G163" s="2">
        <f>IF(F163="","",E163*F163)</f>
        <v>29377.9</v>
      </c>
      <c r="H163" t="str">
        <v>25.325.2302</v>
      </c>
      <c r="I163" t="str">
        <v>80 Ø mm</v>
      </c>
      <c r="J163" t="str">
        <v>Ad</v>
      </c>
      <c r="K163" s="2">
        <v>14688.95</v>
      </c>
      <c r="L163" s="2">
        <v>850.88</v>
      </c>
      <c r="M163" s="1">
        <v>94</v>
      </c>
      <c r="N163" t="str">
        <v>mekanik</v>
      </c>
      <c r="O163" t="str">
        <v>25.325.3108 (52)</v>
      </c>
    </row>
    <row r="164" ht="30" customHeight="1" xml:space="preserve">
      <c r="A164" s="1">
        <v>158</v>
      </c>
      <c r="B164" s="1">
        <v>158</v>
      </c>
      <c r="C164" t="str" xml:space="preserve">
        <v xml:space="preserve">20 Ø mm (3/4"), Emniyet ventili,_x000d_
Pirinç, yaylı tip, vidalı, PN 16</v>
      </c>
      <c r="D164" t="str">
        <v>adet</v>
      </c>
      <c r="E164" s="1">
        <v>1</v>
      </c>
      <c r="F164" s="2">
        <v>1380.73</v>
      </c>
      <c r="G164" s="2">
        <f>IF(F164="","",E164*F164)</f>
        <v>1380.73</v>
      </c>
      <c r="H164" t="str">
        <v>25.327.1102</v>
      </c>
      <c r="I164" t="str">
        <v>20 Ø mm. (3/4")</v>
      </c>
      <c r="J164" t="str">
        <v>Ad</v>
      </c>
      <c r="K164" s="2">
        <v>1380.73</v>
      </c>
      <c r="L164" s="2">
        <v>225.24</v>
      </c>
      <c r="M164" s="1">
        <v>81</v>
      </c>
      <c r="N164" t="str">
        <v>mekanik</v>
      </c>
      <c r="O164" t="str">
        <v>25.327.1103 (50)</v>
      </c>
    </row>
    <row r="165" ht="30" customHeight="1" xml:space="preserve">
      <c r="A165" s="1">
        <v>159</v>
      </c>
      <c r="B165" s="1">
        <v>159</v>
      </c>
      <c r="C165" t="str" xml:space="preserve">
        <v xml:space="preserve">25 Ø mm (1"), Emniyet ventili,_x000d_
Pirinç, yaylı tip, vidalı, PN 16</v>
      </c>
      <c r="D165" t="str">
        <v>adet</v>
      </c>
      <c r="E165" s="1">
        <v>1</v>
      </c>
      <c r="F165" s="2">
        <v>2618.25</v>
      </c>
      <c r="G165" s="2">
        <f>IF(F165="","",E165*F165)</f>
        <v>2618.25</v>
      </c>
      <c r="H165" t="str">
        <v>25.327.1103</v>
      </c>
      <c r="I165" t="str">
        <v>25 Ø mm. (1")</v>
      </c>
      <c r="J165" t="str">
        <v>Ad</v>
      </c>
      <c r="K165" s="2">
        <v>2618.25</v>
      </c>
      <c r="L165" s="2">
        <v>225.24</v>
      </c>
      <c r="M165" s="1">
        <v>80</v>
      </c>
      <c r="N165" t="str">
        <v>mekanik</v>
      </c>
      <c r="O165" t="str">
        <v>25.327.1101 (60)</v>
      </c>
    </row>
    <row r="166" ht="30" customHeight="1" xml:space="preserve">
      <c r="A166" s="1">
        <v>160</v>
      </c>
      <c r="B166" s="1">
        <v>160</v>
      </c>
      <c r="C166" t="str" xml:space="preserve">
        <v xml:space="preserve">15 Ø mm (1/2"), Otomatik hava_x000d_
atma cihazı, su için</v>
      </c>
      <c r="D166" t="str">
        <v>adet</v>
      </c>
      <c r="E166" s="1">
        <v>1</v>
      </c>
      <c r="F166" s="2">
        <v>770.31</v>
      </c>
      <c r="G166" s="2">
        <f>IF(F166="","",E166*F166)</f>
        <v>770.31</v>
      </c>
      <c r="H166" t="str">
        <v>25.340.1201</v>
      </c>
      <c r="I166" t="str">
        <v>15 Ø mm. (1/2")</v>
      </c>
      <c r="J166" t="str">
        <v>Ad</v>
      </c>
      <c r="K166" s="2">
        <v>770.31</v>
      </c>
      <c r="L166" s="2">
        <v>187.7</v>
      </c>
      <c r="M166" s="1">
        <v>87</v>
      </c>
      <c r="N166" t="str">
        <v>mekanik</v>
      </c>
      <c r="O166" t="str">
        <v>25.340.1101 (72)</v>
      </c>
    </row>
    <row r="167" ht="75" customHeight="1" xml:space="preserve">
      <c r="A167" s="1">
        <v>161</v>
      </c>
      <c r="B167" s="1">
        <v>161</v>
      </c>
      <c r="C167" t="str" xml:space="preserve">
        <v xml:space="preserve">Debi m³/h (3,5-7,0) basınç mSS (1-3), Değişken Devirli (Frekans Konvertörlü) Sirkülasyon_x000d_
Pompası: Islak rotorlu düz boruya takılabilen sirkülasyon pompaları</v>
      </c>
      <c r="D167" t="str">
        <v>adet</v>
      </c>
      <c r="E167" s="1">
        <v>2</v>
      </c>
      <c r="F167" s="2">
        <v>35231.54</v>
      </c>
      <c r="G167" s="2">
        <f>IF(F167="","",E167*F167)</f>
        <v>70463.08</v>
      </c>
      <c r="H167" t="str">
        <v>25.350.3002</v>
      </c>
      <c r="I167" t="str">
        <v>(3,5 - 7,0)</v>
      </c>
      <c r="J167" t="str">
        <v>Ad</v>
      </c>
      <c r="K167" s="2">
        <v>35231.54</v>
      </c>
      <c r="L167" s="2">
        <v>1701.06</v>
      </c>
      <c r="M167" s="1">
        <v>50</v>
      </c>
      <c r="N167" t="str">
        <v>mekanik</v>
      </c>
      <c r="O167" t="str">
        <v>25.350.3001 (37)</v>
      </c>
    </row>
    <row r="168" ht="75" customHeight="1" xml:space="preserve">
      <c r="A168" s="1">
        <v>162</v>
      </c>
      <c r="B168" s="1">
        <v>162</v>
      </c>
      <c r="C168" t="str" xml:space="preserve">
        <v xml:space="preserve">Debi m³/h (3-6) basınç mSS (3-5), Değişken Devirli (Frekans Konvertörlü) Sirkülasyon Pompası: Islak rotorlu düz boruya_x000d_
takılabilen sirkülasyon pompaları</v>
      </c>
      <c r="D168" t="str">
        <v>adet</v>
      </c>
      <c r="E168" s="1">
        <v>2</v>
      </c>
      <c r="F168" s="2">
        <v>41123.68</v>
      </c>
      <c r="G168" s="2">
        <f>IF(F168="","",E168*F168)</f>
        <v>82247.36</v>
      </c>
      <c r="H168" t="str">
        <v>25.350.3004</v>
      </c>
      <c r="I168" t="str">
        <v>(3 - 6)</v>
      </c>
      <c r="J168" t="str">
        <v>Ad</v>
      </c>
      <c r="K168" s="2">
        <v>41123.68</v>
      </c>
      <c r="L168" s="2">
        <v>2537.34</v>
      </c>
      <c r="M168" s="1">
        <v>50</v>
      </c>
      <c r="N168" t="str">
        <v>mekanik</v>
      </c>
      <c r="O168" t="str">
        <v>25.350.3005 (38)</v>
      </c>
    </row>
    <row r="169" ht="45" customHeight="1" xml:space="preserve">
      <c r="A169" s="1">
        <v>163</v>
      </c>
      <c r="B169" s="1">
        <v>163</v>
      </c>
      <c r="C169" t="str" xml:space="preserve">
        <v xml:space="preserve">Debisi m³/h: 10-15 Basıncı mSS_x000d_
(10-15), Parçalayıcı Bıçaklı Dalgıç Tip Pis Su Pompası</v>
      </c>
      <c r="D169" t="str">
        <v>adet</v>
      </c>
      <c r="E169" s="1">
        <v>2</v>
      </c>
      <c r="F169" s="2">
        <v>69729.4</v>
      </c>
      <c r="G169" s="2">
        <f>IF(F169="","",E169*F169)</f>
        <v>139458.8</v>
      </c>
      <c r="H169" t="str">
        <v>25.360.1304</v>
      </c>
      <c r="I169" t="str">
        <v>10 - 15</v>
      </c>
      <c r="J169" t="str">
        <v>Ad</v>
      </c>
      <c r="K169" s="2">
        <v>69729.4</v>
      </c>
      <c r="L169" s="2">
        <v>2169.6</v>
      </c>
      <c r="M169" s="1">
        <v>73</v>
      </c>
      <c r="N169" t="str">
        <v>mekanik</v>
      </c>
      <c r="O169" t="str">
        <v>25.360.1305 (73)</v>
      </c>
    </row>
    <row r="170" ht="45" customHeight="1" xml:space="preserve">
      <c r="A170" s="1">
        <v>164</v>
      </c>
      <c r="B170" s="1">
        <v>164</v>
      </c>
      <c r="C170" t="str" xml:space="preserve">
        <v xml:space="preserve">15 Ø mm-50 Ø mm (1/2"-2")_x000d_
arası (2") dahil, Boru boyanması,_x000d_
sülyen boyayla</v>
      </c>
      <c r="D170" t="str">
        <v>metre</v>
      </c>
      <c r="E170" s="1">
        <v>168</v>
      </c>
      <c r="F170" s="2">
        <v>55.45</v>
      </c>
      <c r="G170" s="2">
        <f>IF(F170="","",E170*F170)</f>
        <v>9315.6</v>
      </c>
      <c r="H170" t="str">
        <v>25.365.1101</v>
      </c>
      <c r="I170" t="str">
        <v>15 Ø mm. – 50 Ø mm. (1/2" - 2") arası (2") dahil</v>
      </c>
      <c r="J170" t="str">
        <v>m</v>
      </c>
      <c r="K170" s="2">
        <v>55.45</v>
      </c>
      <c r="L170" s="2">
        <v>48.73</v>
      </c>
      <c r="M170" s="1">
        <v>80</v>
      </c>
      <c r="N170" t="str">
        <v>mekanik</v>
      </c>
      <c r="O170" t="str">
        <v>25.365.1201 (72)</v>
      </c>
    </row>
    <row r="171" ht="45" customHeight="1" xml:space="preserve">
      <c r="A171" s="1">
        <v>165</v>
      </c>
      <c r="B171" s="1">
        <v>165</v>
      </c>
      <c r="C171" t="str" xml:space="preserve">
        <v xml:space="preserve">15 Ø mm-50 Ø mm (1/2"-2")_x000d_
arası (2") dahil, Boru boyanması, yağlı boya ile</v>
      </c>
      <c r="D171" t="str">
        <v>metre</v>
      </c>
      <c r="E171" s="4">
        <v>1196</v>
      </c>
      <c r="F171" s="2">
        <v>56.68</v>
      </c>
      <c r="G171" s="2">
        <f>IF(F171="","",E171*F171)</f>
        <v>67789.28</v>
      </c>
      <c r="H171" t="str">
        <v>25.365.1201</v>
      </c>
      <c r="I171" t="str">
        <v>15 Ø mm. - 50 Ø mm. (1/2" – 2") arası (2") dahil</v>
      </c>
      <c r="J171" t="str">
        <v>m</v>
      </c>
      <c r="K171" s="2">
        <v>56.68</v>
      </c>
      <c r="L171" s="2">
        <v>48.73</v>
      </c>
      <c r="M171" s="1">
        <v>91</v>
      </c>
      <c r="N171" t="str">
        <v>mekanik</v>
      </c>
      <c r="O171" t="str">
        <v>25.365.1101 (79)</v>
      </c>
    </row>
    <row r="172" ht="45" customHeight="1" xml:space="preserve">
      <c r="A172" s="1">
        <v>166</v>
      </c>
      <c r="B172" s="1">
        <v>166</v>
      </c>
      <c r="C172" t="str" xml:space="preserve">
        <v xml:space="preserve">50 Ø mm-100 Ø mm (2"-4") arası (4") dahil, Boru boyanması, yağlı_x000d_
boya ile</v>
      </c>
      <c r="D172" t="str">
        <v>metre</v>
      </c>
      <c r="E172" s="1">
        <v>439</v>
      </c>
      <c r="F172" s="2">
        <v>113.06</v>
      </c>
      <c r="G172" s="2">
        <f>IF(F172="","",E172*F172)</f>
        <v>49633.34</v>
      </c>
      <c r="H172" t="str">
        <v>25.365.1202</v>
      </c>
      <c r="I172" t="str">
        <v>50 Ø mm. - 100 Ø mm. (2" - 4") arası (4") dahil</v>
      </c>
      <c r="J172" t="str">
        <v>m</v>
      </c>
      <c r="K172" s="2">
        <v>113.06</v>
      </c>
      <c r="L172" s="2">
        <v>97.46</v>
      </c>
      <c r="M172" s="1">
        <v>90</v>
      </c>
      <c r="N172" t="str">
        <v>mekanik</v>
      </c>
      <c r="O172" t="str">
        <v>25.365.1102 (79)</v>
      </c>
    </row>
    <row r="173" ht="45" customHeight="1" xml:space="preserve">
      <c r="A173" s="1">
        <v>167</v>
      </c>
      <c r="B173" s="1">
        <v>167</v>
      </c>
      <c r="C173" t="str" xml:space="preserve">
        <v xml:space="preserve">100 Ø mm-150 Ø mm (4"-6")_x000d_
arası (6") dahil, Boru boyanması, yağlı boya ile</v>
      </c>
      <c r="D173" t="str">
        <v>metre</v>
      </c>
      <c r="E173" s="1">
        <v>95</v>
      </c>
      <c r="F173" s="2">
        <v>167.43</v>
      </c>
      <c r="G173" s="2">
        <f>IF(F173="","",E173*F173)</f>
        <v>15905.85</v>
      </c>
      <c r="H173" t="str">
        <v>25.365.1203</v>
      </c>
      <c r="I173" t="str">
        <v>100 Ø mm. - 150 Ø mm. (4" - 6") arası (6") dahil</v>
      </c>
      <c r="J173" t="str">
        <v>m</v>
      </c>
      <c r="K173" s="2">
        <v>167.43</v>
      </c>
      <c r="L173" s="2">
        <v>144.04</v>
      </c>
      <c r="M173" s="1">
        <v>91</v>
      </c>
      <c r="N173" t="str">
        <v>mekanik</v>
      </c>
      <c r="O173" t="str">
        <v>25.365.1103 (79)</v>
      </c>
    </row>
    <row r="174" ht="75" customHeight="1" xml:space="preserve">
      <c r="A174" s="1">
        <v>168</v>
      </c>
      <c r="B174" s="1">
        <v>168</v>
      </c>
      <c r="C174" t="str" xml:space="preserve">
        <v xml:space="preserve">Boru Dış Çapı (1") 33 Ø mm- Cam Yünü Et Kalınlığı: 30 mm, Cam yünü Esaslı Alüminyum_x000d_
Folyo Kaplı Prefabrik Boru Yalıtımı (TS EN 14303)</v>
      </c>
      <c r="D174" t="str">
        <v>metre</v>
      </c>
      <c r="E174" s="1">
        <v>16</v>
      </c>
      <c r="F174" s="2">
        <v>368.23</v>
      </c>
      <c r="G174" s="2">
        <f>IF(F174="","",E174*F174)</f>
        <v>5891.68</v>
      </c>
      <c r="H174" t="str">
        <v>25.400.3516</v>
      </c>
      <c r="I174" t="str">
        <v>(1") 33 Ø mm 30 mm</v>
      </c>
      <c r="J174" t="str">
        <v>m</v>
      </c>
      <c r="K174" s="2">
        <v>368.23</v>
      </c>
      <c r="L174" s="2">
        <v>83.63</v>
      </c>
      <c r="M174" s="1">
        <v>61</v>
      </c>
      <c r="N174" t="str">
        <v>mekanik</v>
      </c>
      <c r="O174" t="str">
        <v>25.400.3015 (52)</v>
      </c>
    </row>
    <row r="175" ht="75" customHeight="1" xml:space="preserve">
      <c r="A175" s="1">
        <v>169</v>
      </c>
      <c r="B175" s="1">
        <v>169</v>
      </c>
      <c r="C175" t="str" xml:space="preserve">
        <v xml:space="preserve">Boru Dış Çapı (1 1/4") 42 Ø mm- Cam Yünü Et Kalınlığı: 30 mm, Cam yünü Esaslı Alüminyum_x000d_
Folyo Kaplı Prefabrik Boru Yalıtımı (TS EN 14303)</v>
      </c>
      <c r="D175" t="str">
        <v>metre</v>
      </c>
      <c r="E175" s="1">
        <v>152</v>
      </c>
      <c r="F175" s="2">
        <v>347.69</v>
      </c>
      <c r="G175" s="2">
        <f>IF(F175="","",E175*F175)</f>
        <v>52848.88</v>
      </c>
      <c r="H175" t="str">
        <v>25.400.3520</v>
      </c>
      <c r="I175" t="str">
        <v>(11/4") 42Ø mm</v>
      </c>
      <c r="J175" t="str">
        <v>m</v>
      </c>
      <c r="K175" s="2">
        <v>347.69</v>
      </c>
      <c r="L175" s="2">
        <v>83.63</v>
      </c>
      <c r="M175" s="1">
        <v>46</v>
      </c>
      <c r="N175" t="str">
        <v>mekanik</v>
      </c>
      <c r="O175" t="str">
        <v>25.400.3521 (46)</v>
      </c>
    </row>
    <row r="176" ht="45" customHeight="1" xml:space="preserve">
      <c r="A176" s="1">
        <v>170</v>
      </c>
      <c r="B176" s="1">
        <v>170</v>
      </c>
      <c r="C176" t="str" xml:space="preserve">
        <v xml:space="preserve">(3/4") 28 Ø mm 13 mm, Kauçuk_x000d_
esaslı prefabrik boru ile soğuk hat yalıtımı</v>
      </c>
      <c r="D176" t="str">
        <v>metre</v>
      </c>
      <c r="E176" s="1">
        <v>608</v>
      </c>
      <c r="F176" s="2">
        <v>56.74</v>
      </c>
      <c r="G176" s="2">
        <f>IF(F176="","",E176*F176)</f>
        <v>34497.92</v>
      </c>
      <c r="H176" t="str">
        <v>25.400.5011</v>
      </c>
      <c r="I176" t="str">
        <v>(3/4’’) 28 Ø mm</v>
      </c>
      <c r="J176" t="str">
        <v>m</v>
      </c>
      <c r="K176" s="2">
        <v>56.74</v>
      </c>
      <c r="L176" s="2">
        <v>32.88</v>
      </c>
      <c r="M176" s="1">
        <v>49</v>
      </c>
      <c r="N176" t="str">
        <v>mekanik</v>
      </c>
      <c r="O176" t="str">
        <v>25.400.5012 (49)</v>
      </c>
    </row>
    <row r="177" ht="45" customHeight="1" xml:space="preserve">
      <c r="A177" s="1">
        <v>171</v>
      </c>
      <c r="B177" s="1">
        <v>171</v>
      </c>
      <c r="C177" t="str" xml:space="preserve">
        <v xml:space="preserve">(1") 35 Ø mm 13 mm, Kauçuk_x000d_
esaslı prefabrik boru ile soğuk hat yalıtımı</v>
      </c>
      <c r="D177" t="str">
        <v>metre</v>
      </c>
      <c r="E177" s="1">
        <v>127</v>
      </c>
      <c r="F177" s="2">
        <v>60.49</v>
      </c>
      <c r="G177" s="2">
        <f>IF(F177="","",E177*F177)</f>
        <v>7682.23</v>
      </c>
      <c r="H177" t="str">
        <v>25.400.5016</v>
      </c>
      <c r="I177" t="str">
        <v>(1’’) 35 Ø mm</v>
      </c>
      <c r="J177" t="str">
        <v>m</v>
      </c>
      <c r="K177" s="2">
        <v>60.49</v>
      </c>
      <c r="L177" s="2">
        <v>32.88</v>
      </c>
      <c r="M177" s="1">
        <v>42</v>
      </c>
      <c r="N177" t="str">
        <v>mekanik</v>
      </c>
      <c r="O177" t="str">
        <v>25.400.5017 (42)</v>
      </c>
    </row>
    <row r="178" ht="45" customHeight="1">
      <c r="A178" s="1">
        <v>172</v>
      </c>
      <c r="B178" s="1">
        <v>172</v>
      </c>
      <c r="C178" t="str">
        <v>(1 ¼") 42 Ø mm 13 mm, Kauçuk esaslı prefabrik boru ile soğuk hat yalıtımı (TS EN 14313)</v>
      </c>
      <c r="D178" t="str">
        <v>metre</v>
      </c>
      <c r="E178" s="1">
        <v>37</v>
      </c>
      <c r="F178" s="2">
        <v>74.38</v>
      </c>
      <c r="G178" s="2">
        <f>IF(F178="","",E178*F178)</f>
        <v>2752.06</v>
      </c>
      <c r="H178" t="str">
        <v>25.400.5021</v>
      </c>
      <c r="I178" t="str">
        <v>(1 ¼’’) 42 Ø mm</v>
      </c>
      <c r="J178" t="str">
        <v>m</v>
      </c>
      <c r="K178" s="2">
        <v>74.38</v>
      </c>
      <c r="L178" s="2">
        <v>40.39</v>
      </c>
      <c r="M178" s="1">
        <v>39</v>
      </c>
      <c r="N178" t="str">
        <v>mekanik</v>
      </c>
      <c r="O178" t="str">
        <v>25.400.5022 (39)</v>
      </c>
    </row>
    <row r="179" ht="45" customHeight="1" xml:space="preserve">
      <c r="A179" s="1">
        <v>173</v>
      </c>
      <c r="B179" s="1">
        <v>173</v>
      </c>
      <c r="C179" t="str" xml:space="preserve">
        <v xml:space="preserve">(1 ½") 48 Ø mm 13 mm, Kauçuk_x000d_
esaslı prefabrik boru ile soğuk hat yalıtımı (TS EN 14313)</v>
      </c>
      <c r="D179" t="str">
        <v>metre</v>
      </c>
      <c r="E179" s="1">
        <v>33</v>
      </c>
      <c r="F179" s="2">
        <v>79.1</v>
      </c>
      <c r="G179" s="2">
        <f>IF(F179="","",E179*F179)</f>
        <v>2610.3</v>
      </c>
      <c r="H179" t="str">
        <v>25.400.5026</v>
      </c>
      <c r="I179" t="str">
        <v>(1 ½’’) 48 Ø mm</v>
      </c>
      <c r="J179" t="str">
        <v>m</v>
      </c>
      <c r="K179" s="2">
        <v>79.1</v>
      </c>
      <c r="L179" s="2">
        <v>40.39</v>
      </c>
      <c r="M179" s="1">
        <v>39</v>
      </c>
      <c r="N179" t="str">
        <v>mekanik</v>
      </c>
      <c r="O179" t="str">
        <v>25.400.5027 (39)</v>
      </c>
    </row>
    <row r="180" ht="45" customHeight="1" xml:space="preserve">
      <c r="A180" s="1">
        <v>174</v>
      </c>
      <c r="B180" s="1">
        <v>174</v>
      </c>
      <c r="C180" t="str" xml:space="preserve">
        <v xml:space="preserve">(2") 60 Ø mm 13 mm, Kauçuk_x000d_
esaslı prefabrik boru ile soğuk hat yalıtımı (TS EN 14313)</v>
      </c>
      <c r="D180" t="str">
        <v>metre</v>
      </c>
      <c r="E180" s="1">
        <v>45</v>
      </c>
      <c r="F180" s="2">
        <v>314.3</v>
      </c>
      <c r="G180" s="2">
        <f>IF(F180="","",E180*F180)</f>
        <v>14143.5</v>
      </c>
      <c r="H180" t="str">
        <v>25.400.3030</v>
      </c>
      <c r="I180" t="str">
        <v>(2") 60 Ø mm</v>
      </c>
      <c r="J180" t="str">
        <v>m</v>
      </c>
      <c r="K180" s="2">
        <v>314.3</v>
      </c>
      <c r="L180" s="2">
        <v>98.65</v>
      </c>
      <c r="M180" s="1">
        <v>43</v>
      </c>
      <c r="N180" t="str">
        <v>mekanik</v>
      </c>
      <c r="O180" t="str">
        <v>25.400.3031 (43)</v>
      </c>
    </row>
    <row r="181" ht="45" customHeight="1" xml:space="preserve">
      <c r="A181" s="1">
        <v>175</v>
      </c>
      <c r="B181" s="1">
        <v>175</v>
      </c>
      <c r="C181" t="str" xml:space="preserve">
        <v xml:space="preserve">(2 ½") 76 Ø mm 13 mm, Kauçuk_x000d_
esaslı prefabrik boru ile soğuk hat yalıtımı (TS EN 14313)</v>
      </c>
      <c r="D181" t="str">
        <v>metre</v>
      </c>
      <c r="E181" s="1">
        <v>30</v>
      </c>
      <c r="F181" s="2">
        <v>355.63</v>
      </c>
      <c r="G181" s="2">
        <f>IF(F181="","",E181*F181)</f>
        <v>10668.9</v>
      </c>
      <c r="H181" t="str">
        <v>25.400.3036</v>
      </c>
      <c r="I181" t="str">
        <v>(21/2") 76Ø mm</v>
      </c>
      <c r="J181" t="str">
        <v>m</v>
      </c>
      <c r="K181" s="2">
        <v>355.63</v>
      </c>
      <c r="L181" s="2">
        <v>116.5</v>
      </c>
      <c r="M181" s="1">
        <v>42</v>
      </c>
      <c r="N181" t="str">
        <v>mekanik</v>
      </c>
      <c r="O181" t="str">
        <v>25.400.3037 (42)</v>
      </c>
    </row>
    <row r="182" ht="60" customHeight="1" xml:space="preserve">
      <c r="A182" s="1">
        <v>176</v>
      </c>
      <c r="B182" s="1">
        <v>176</v>
      </c>
      <c r="C182" t="str" xml:space="preserve">
        <v xml:space="preserve">(1/2") 22 Ø mm 19 mm,_x000d_
Alüminyum Kompozit Film Kaplı Kauçuk Köpüğü esaslı Prefabrik Boru Yalıtımı (TS EN 14303)</v>
      </c>
      <c r="D182" t="str">
        <v>metre</v>
      </c>
      <c r="E182" s="1">
        <v>143</v>
      </c>
      <c r="F182" s="2">
        <v>52.28</v>
      </c>
      <c r="G182" s="2">
        <f>IF(F182="","",E182*F182)</f>
        <v>7476.04</v>
      </c>
      <c r="H182" t="str">
        <v>25.400.5501</v>
      </c>
      <c r="I182" t="str">
        <v>(1/2’’) 22 Ø mm</v>
      </c>
      <c r="J182" t="str">
        <v>m</v>
      </c>
      <c r="K182" s="2">
        <v>52.28</v>
      </c>
      <c r="L182" s="2">
        <v>25.36</v>
      </c>
      <c r="M182" s="1">
        <v>63</v>
      </c>
      <c r="N182" t="str">
        <v>mekanik</v>
      </c>
      <c r="O182" t="str">
        <v>25.400.5502 (63)</v>
      </c>
    </row>
    <row r="183" ht="60" customHeight="1" xml:space="preserve">
      <c r="A183" s="1">
        <v>177</v>
      </c>
      <c r="B183" s="1">
        <v>177</v>
      </c>
      <c r="C183" t="str" xml:space="preserve">
        <v xml:space="preserve">(3/4") 28 Ø mm 19 mm,_x000d_
Alüminyum Kompozit Film Kaplı_x000d_
Kauçuk Köpüğü esaslı Prefabrik Boru Yalıtımı (TS EN 14303)</v>
      </c>
      <c r="D183" t="str">
        <v>metre</v>
      </c>
      <c r="E183" s="1">
        <v>103</v>
      </c>
      <c r="F183" s="2">
        <v>62.84</v>
      </c>
      <c r="G183" s="2">
        <f>IF(F183="","",E183*F183)</f>
        <v>6472.52</v>
      </c>
      <c r="H183" t="str">
        <v>25.400.5506</v>
      </c>
      <c r="I183" t="str">
        <v>(3/4’’) 28 Ø mm</v>
      </c>
      <c r="J183" t="str">
        <v>m</v>
      </c>
      <c r="K183" s="2">
        <v>62.84</v>
      </c>
      <c r="L183" s="2">
        <v>32.88</v>
      </c>
      <c r="M183" s="1">
        <v>63</v>
      </c>
      <c r="N183" t="str">
        <v>mekanik</v>
      </c>
      <c r="O183" t="str">
        <v>25.400.5507 (63)</v>
      </c>
    </row>
    <row r="184" ht="60" customHeight="1" xml:space="preserve">
      <c r="A184" s="1">
        <v>178</v>
      </c>
      <c r="B184" s="1">
        <v>178</v>
      </c>
      <c r="C184" t="str" xml:space="preserve">
        <v xml:space="preserve">(1") 35 Ø mm 25 mm,_x000d_
Alüminyum Kompozit Film Kaplı_x000d_
Kauçuk Köpüğü esaslı Prefabrik Boru Yalıtımı (TS EN 14303)</v>
      </c>
      <c r="D184" t="str">
        <v>metre</v>
      </c>
      <c r="E184" s="1">
        <v>142</v>
      </c>
      <c r="F184" s="2">
        <v>68.81</v>
      </c>
      <c r="G184" s="2">
        <f>IF(F184="","",E184*F184)</f>
        <v>9771.02</v>
      </c>
      <c r="H184" t="str">
        <v>25.400.5511</v>
      </c>
      <c r="I184" t="str">
        <v>(1’’) 35 Ø mm</v>
      </c>
      <c r="J184" t="str">
        <v>m</v>
      </c>
      <c r="K184" s="2">
        <v>68.81</v>
      </c>
      <c r="L184" s="2">
        <v>32.88</v>
      </c>
      <c r="M184" s="1">
        <v>59</v>
      </c>
      <c r="N184" t="str">
        <v>mekanik</v>
      </c>
      <c r="O184" t="str">
        <v>25.400.5512 (59)</v>
      </c>
    </row>
    <row r="185" ht="60" customHeight="1" xml:space="preserve">
      <c r="A185" s="1">
        <v>179</v>
      </c>
      <c r="B185" s="1">
        <v>179</v>
      </c>
      <c r="C185" t="str" xml:space="preserve">
        <v xml:space="preserve">(1 ¼") 42 Ø mm 25 mm, Alüminyum Kompozit Film Kaplı Kauçuk Köpüğü esaslı Prefabrik_x000d_
Boru Yalıtımı (TS EN 14303)</v>
      </c>
      <c r="D185" t="str">
        <v>metre</v>
      </c>
      <c r="E185" s="1">
        <v>76</v>
      </c>
      <c r="F185" s="2">
        <v>81.45</v>
      </c>
      <c r="G185" s="2">
        <f>IF(F185="","",E185*F185)</f>
        <v>6190.2</v>
      </c>
      <c r="H185" t="str">
        <v>25.400.5516</v>
      </c>
      <c r="I185" t="str">
        <v>(1 ¼’’) 42 Ø mm</v>
      </c>
      <c r="J185" t="str">
        <v>m</v>
      </c>
      <c r="K185" s="2">
        <v>81.45</v>
      </c>
      <c r="L185" s="2">
        <v>40.39</v>
      </c>
      <c r="M185" s="1">
        <v>59</v>
      </c>
      <c r="N185" t="str">
        <v>mekanik</v>
      </c>
      <c r="O185" t="str">
        <v>25.400.5517 (59)</v>
      </c>
    </row>
    <row r="186" ht="60" customHeight="1" xml:space="preserve">
      <c r="A186" s="1">
        <v>180</v>
      </c>
      <c r="B186" s="1">
        <v>180</v>
      </c>
      <c r="C186" t="str" xml:space="preserve">
        <v xml:space="preserve">(1 ½") 48 Ø mm 25 mm, Alüminyum Kompozit Film Kaplı Kauçuk Köpüğü esaslı Prefabrik_x000d_
Boru Yalıtımı (TS EN 14303)</v>
      </c>
      <c r="D186" t="str">
        <v>metre</v>
      </c>
      <c r="E186" s="1">
        <v>79</v>
      </c>
      <c r="F186" s="2">
        <v>88.8</v>
      </c>
      <c r="G186" s="2">
        <f>IF(F186="","",E186*F186)</f>
        <v>7015.2</v>
      </c>
      <c r="H186" t="str">
        <v>25.400.5521</v>
      </c>
      <c r="I186" t="str">
        <v>(1 ½’’) 48 Ø mm</v>
      </c>
      <c r="J186" t="str">
        <v>m</v>
      </c>
      <c r="K186" s="2">
        <v>88.8</v>
      </c>
      <c r="L186" s="2">
        <v>40.39</v>
      </c>
      <c r="M186" s="1">
        <v>59</v>
      </c>
      <c r="N186" t="str">
        <v>mekanik</v>
      </c>
      <c r="O186" t="str">
        <v>25.400.5522 (59)</v>
      </c>
    </row>
    <row r="187" ht="60" customHeight="1" xml:space="preserve">
      <c r="A187" s="1">
        <v>181</v>
      </c>
      <c r="B187" s="1">
        <v>181</v>
      </c>
      <c r="C187" t="str" xml:space="preserve">
        <v xml:space="preserve">(2") 60 Ø mm 32 mm,_x000d_
Alüminyum Kompozit Film Kaplı Kauçuk Köpüğü esaslı Prefabrik Boru Yalıtımı (TS EN 14303)</v>
      </c>
      <c r="D187" t="str">
        <v>metre</v>
      </c>
      <c r="E187" s="1">
        <v>13</v>
      </c>
      <c r="F187" s="2">
        <v>118.05</v>
      </c>
      <c r="G187" s="2">
        <f>IF(F187="","",E187*F187)</f>
        <v>1534.65</v>
      </c>
      <c r="H187" t="str">
        <v>25.400.5526</v>
      </c>
      <c r="I187" t="str">
        <v>(2’’) 60 Ø mm</v>
      </c>
      <c r="J187" t="str">
        <v>m</v>
      </c>
      <c r="K187" s="2">
        <v>118.05</v>
      </c>
      <c r="L187" s="2">
        <v>58.26</v>
      </c>
      <c r="M187" s="1">
        <v>58</v>
      </c>
      <c r="N187" t="str">
        <v>mekanik</v>
      </c>
      <c r="O187" t="str">
        <v>25.400.5527 (58)</v>
      </c>
    </row>
    <row r="188" ht="60" customHeight="1" xml:space="preserve">
      <c r="A188" s="1">
        <v>182</v>
      </c>
      <c r="B188" s="1">
        <v>182</v>
      </c>
      <c r="C188" t="str" xml:space="preserve">
        <v xml:space="preserve">(3") 89 Ø mm 32 mm,_x000d_
Alüminyum Kompozit Film Kaplı_x000d_
Kauçuk Köpüğü esaslı Prefabrik Boru Yalıtımı (TS EN 14303)</v>
      </c>
      <c r="D188" t="str">
        <v>metre</v>
      </c>
      <c r="E188" s="1">
        <v>43</v>
      </c>
      <c r="F188" s="2">
        <v>170.95</v>
      </c>
      <c r="G188" s="2">
        <f>IF(F188="","",E188*F188)</f>
        <v>7350.85</v>
      </c>
      <c r="H188" t="str">
        <v>25.400.5536</v>
      </c>
      <c r="I188" t="str">
        <v>(3’’) 89 Ø mm</v>
      </c>
      <c r="J188" t="str">
        <v>m</v>
      </c>
      <c r="K188" s="2">
        <v>170.95</v>
      </c>
      <c r="L188" s="2">
        <v>80.78</v>
      </c>
      <c r="M188" s="1">
        <v>59</v>
      </c>
      <c r="N188" t="str">
        <v>mekanik</v>
      </c>
      <c r="O188" t="str">
        <v>25.400.5537 (59)</v>
      </c>
    </row>
    <row r="189" ht="30" customHeight="1">
      <c r="A189" s="1">
        <v>183</v>
      </c>
      <c r="B189" s="1">
        <v>183</v>
      </c>
      <c r="C189" t="str">
        <v>50 mm dahil kaplama çapı 100 mm'ye kadar, Boru İzolasyon</v>
      </c>
      <c r="D189" t="str">
        <v>metre</v>
      </c>
      <c r="E189" s="1">
        <v>337</v>
      </c>
      <c r="F189" s="2">
        <v>254.71</v>
      </c>
      <c r="G189" s="2">
        <f>IF(F189="","",E189*F189)</f>
        <v>85837.27</v>
      </c>
      <c r="H189" t="str">
        <v>25.400.9202</v>
      </c>
      <c r="I189" t="str">
        <v>50 mm dahil kaplama çapı 100 mm’ye kadar</v>
      </c>
      <c r="J189" t="str">
        <v>m</v>
      </c>
      <c r="K189" s="2">
        <v>254.71</v>
      </c>
      <c r="L189" s="2">
        <v>172.4</v>
      </c>
      <c r="M189" s="1">
        <v>75</v>
      </c>
      <c r="N189" t="str">
        <v>mekanik</v>
      </c>
      <c r="O189" t="str">
        <v>25.400.9102 (75)</v>
      </c>
    </row>
    <row r="190" ht="30" customHeight="1">
      <c r="C190" t="str">
        <v>Üzeri Galvaniz Sac (0,5 mm) Kaplam</v>
      </c>
    </row>
    <row r="191" ht="60" customHeight="1" xml:space="preserve">
      <c r="A191" s="1">
        <v>184</v>
      </c>
      <c r="B191" s="1">
        <v>184</v>
      </c>
      <c r="C191" t="str" xml:space="preserve">
        <v xml:space="preserve">100 mm dahil kaplama çapı 150 mm'ye kadar, Boru İzolasyon Üzeri Galvaniz Sac (0,5 mm)_x000d_
Kaplam</v>
      </c>
      <c r="D191" t="str">
        <v>metre</v>
      </c>
      <c r="E191" s="1">
        <v>81</v>
      </c>
      <c r="F191" s="2">
        <v>295.88</v>
      </c>
      <c r="G191" s="2">
        <f>IF(F191="","",E191*F191)</f>
        <v>23966.28</v>
      </c>
      <c r="H191" t="str">
        <v>25.400.9203</v>
      </c>
      <c r="I191" t="str">
        <v>100 mm dahil kaplama çapı 150 mm’ye kadar</v>
      </c>
      <c r="J191" t="str">
        <v>m</v>
      </c>
      <c r="K191" s="2">
        <v>295.88</v>
      </c>
      <c r="L191" s="2">
        <v>172.4</v>
      </c>
      <c r="M191" s="1">
        <v>70</v>
      </c>
      <c r="N191" t="str">
        <v>mekanik</v>
      </c>
      <c r="O191" t="str">
        <v>25.400.9204 (51)</v>
      </c>
    </row>
    <row r="192" ht="60" customHeight="1" xml:space="preserve">
      <c r="A192" s="1">
        <v>185</v>
      </c>
      <c r="B192" s="1">
        <v>185</v>
      </c>
      <c r="C192" t="str" xml:space="preserve">
        <v xml:space="preserve">150 mm dahil kaplama çapı 200 mm'ye kadar, Boru İzolasyon Üzeri Galvaniz Sac (0,5 mm)_x000d_
Kaplam</v>
      </c>
      <c r="D192" t="str">
        <v>metre</v>
      </c>
      <c r="E192" s="1">
        <v>43</v>
      </c>
      <c r="F192" s="2">
        <v>337.04</v>
      </c>
      <c r="G192" s="2">
        <f>IF(F192="","",E192*F192)</f>
        <v>14492.72</v>
      </c>
      <c r="H192" t="str">
        <v>25.400.9204</v>
      </c>
      <c r="I192" t="str">
        <v>150 mm dahil kaplama çapı 200 mm’ye kadar</v>
      </c>
      <c r="J192" t="str">
        <v>m</v>
      </c>
      <c r="K192" s="2">
        <v>337.04</v>
      </c>
      <c r="L192" s="2">
        <v>172.4</v>
      </c>
      <c r="M192" s="1">
        <v>71</v>
      </c>
      <c r="N192" t="str">
        <v>mekanik</v>
      </c>
      <c r="O192" t="str">
        <v>25.400.9203 (51)</v>
      </c>
    </row>
    <row r="193" ht="45" customHeight="1" xml:space="preserve">
      <c r="A193" s="1">
        <v>186</v>
      </c>
      <c r="B193" s="1">
        <v>186</v>
      </c>
      <c r="C193" t="str" xml:space="preserve">
        <v xml:space="preserve">3.000 m³/h'lık, Çatı tipi radyal aspiratörler, basıncı 225 paskala_x000d_
(25 mm SS'na) kadar</v>
      </c>
      <c r="D193" t="str">
        <v>adet</v>
      </c>
      <c r="E193" s="1">
        <v>1</v>
      </c>
      <c r="F193" s="2">
        <v>32572.84</v>
      </c>
      <c r="G193" s="2">
        <f>IF(F193="","",E193*F193)</f>
        <v>32572.84</v>
      </c>
      <c r="H193" t="str">
        <v>25.450.2103</v>
      </c>
      <c r="I193" t="str">
        <v>3000 m3/h'lık</v>
      </c>
      <c r="J193" t="str">
        <v/>
      </c>
      <c r="K193" s="2">
        <v>32572.84</v>
      </c>
      <c r="L193" s="2">
        <v>4430.64</v>
      </c>
      <c r="M193" s="1">
        <v>80</v>
      </c>
      <c r="N193" t="str">
        <v>mekanik</v>
      </c>
      <c r="O193" t="str">
        <v>25.450.1103 (65)</v>
      </c>
    </row>
    <row r="194" ht="30" customHeight="1" xml:space="preserve">
      <c r="A194" s="1">
        <v>187</v>
      </c>
      <c r="B194" s="1">
        <v>187</v>
      </c>
      <c r="C194" t="str" xml:space="preserve">
        <v xml:space="preserve">Çatı tipi radyal aspiratör 25_x000d_
mmss. 4050 m3/h.</v>
      </c>
      <c r="D194" t="str">
        <v>adet</v>
      </c>
      <c r="E194" s="1">
        <v>1</v>
      </c>
      <c r="F194" s="2">
        <v>19821.15</v>
      </c>
      <c r="G194" s="2">
        <f>IF(F194="","",E194*F194)</f>
        <v>19821.15</v>
      </c>
      <c r="H194" t="str">
        <v>25.450.2101</v>
      </c>
      <c r="I194" t="str">
        <v>1000 m3/h'a kadar</v>
      </c>
      <c r="J194" t="str">
        <v/>
      </c>
      <c r="K194" s="2">
        <v>19821.15</v>
      </c>
      <c r="L194" s="2">
        <v>4073.33</v>
      </c>
      <c r="M194" s="1">
        <v>28</v>
      </c>
      <c r="N194" t="str">
        <v>mekanik</v>
      </c>
      <c r="O194" t="str">
        <v>25.450.2102 (28)</v>
      </c>
    </row>
    <row r="195" ht="15" customHeight="1">
      <c r="A195" s="1">
        <v>188</v>
      </c>
      <c r="B195" s="1">
        <v>188</v>
      </c>
      <c r="C195" t="str">
        <v>200 m³/h, Kanal tipi aspiratör</v>
      </c>
      <c r="D195" t="str">
        <v>adet</v>
      </c>
      <c r="E195" s="1">
        <v>5</v>
      </c>
      <c r="F195" s="2">
        <v>11910.18</v>
      </c>
      <c r="G195" s="2">
        <f>IF(F195="","",E195*F195)</f>
        <v>59550.9</v>
      </c>
      <c r="H195" t="str">
        <v>25.450.5102</v>
      </c>
      <c r="I195" t="str">
        <v>200 m3/h</v>
      </c>
      <c r="J195" t="str">
        <v>Ad</v>
      </c>
      <c r="K195" s="2">
        <v>11910.18</v>
      </c>
      <c r="L195" s="2">
        <v>1411.18</v>
      </c>
      <c r="M195" s="1">
        <v>49</v>
      </c>
      <c r="N195" t="str">
        <v>mekanik</v>
      </c>
      <c r="O195" t="str">
        <v>25.552.1202 (24)</v>
      </c>
    </row>
    <row r="196" ht="30" customHeight="1">
      <c r="A196" s="1">
        <v>189</v>
      </c>
      <c r="B196" s="1">
        <v>189</v>
      </c>
      <c r="C196" t="str">
        <v>2.000 m³/h, Tavan tipi ısı geri kazanımlı havalandırma cihazları</v>
      </c>
      <c r="D196" t="str">
        <v>adet</v>
      </c>
      <c r="E196" s="1">
        <v>1</v>
      </c>
      <c r="F196" s="2">
        <v>176615</v>
      </c>
      <c r="G196" s="2">
        <f>IF(F196="","",E196*F196)</f>
        <v>176615</v>
      </c>
      <c r="H196" t="str">
        <v>25.467.1104</v>
      </c>
      <c r="I196" t="str">
        <v>2000 m3/h</v>
      </c>
      <c r="J196" t="str">
        <v>Ad</v>
      </c>
      <c r="K196" s="2">
        <v>176615</v>
      </c>
      <c r="L196" s="2">
        <v>7198.39</v>
      </c>
      <c r="M196" s="1">
        <v>84</v>
      </c>
      <c r="N196" t="str">
        <v>mekanik</v>
      </c>
      <c r="O196" t="str">
        <v>25.467.1201 (44)</v>
      </c>
    </row>
    <row r="197" ht="30" customHeight="1">
      <c r="A197" s="1">
        <v>190</v>
      </c>
      <c r="B197" s="1">
        <v>190</v>
      </c>
      <c r="C197" t="str">
        <v>4.000 m³/h, Tavan tipi ısı geri kazanımlı havalandırma cihazları</v>
      </c>
      <c r="D197" t="str">
        <v>adet</v>
      </c>
      <c r="E197" s="1">
        <v>2</v>
      </c>
      <c r="F197" s="2">
        <v>365431.11</v>
      </c>
      <c r="G197" s="2">
        <f>IF(F197="","",E197*F197)</f>
        <v>730862.22</v>
      </c>
      <c r="H197" t="str">
        <v>25.467.1106</v>
      </c>
      <c r="I197" t="str">
        <v>4000 m3/h</v>
      </c>
      <c r="J197" t="str">
        <v>Ad</v>
      </c>
      <c r="K197" s="2">
        <v>365431.11</v>
      </c>
      <c r="L197" s="2">
        <v>11574.41</v>
      </c>
      <c r="M197" s="1">
        <v>84</v>
      </c>
      <c r="N197" t="str">
        <v>mekanik</v>
      </c>
      <c r="O197" t="str">
        <v>25.467.1203 (45)</v>
      </c>
    </row>
    <row r="198" ht="45" customHeight="1" xml:space="preserve">
      <c r="A198" s="1">
        <v>191</v>
      </c>
      <c r="B198" s="1">
        <v>191</v>
      </c>
      <c r="C198" t="str" xml:space="preserve">
        <v xml:space="preserve">6.000 W, Tavan Tipi Isı geri kazanım Cihazı Elektrikli Isıtıcı_x000d_
üniteleri</v>
      </c>
      <c r="D198" t="str">
        <v>adet</v>
      </c>
      <c r="E198" s="1">
        <v>1</v>
      </c>
      <c r="F198" s="2">
        <v>21838.11</v>
      </c>
      <c r="G198" s="2">
        <f>IF(F198="","",E198*F198)</f>
        <v>21838.11</v>
      </c>
      <c r="H198" t="str">
        <v>25.467.1204</v>
      </c>
      <c r="I198" t="str">
        <v>6000 W</v>
      </c>
      <c r="J198" t="str">
        <v/>
      </c>
      <c r="K198" s="2">
        <v>21838.11</v>
      </c>
      <c r="L198" s="2">
        <v>2964.86</v>
      </c>
      <c r="M198" s="1">
        <v>97</v>
      </c>
      <c r="N198" t="str">
        <v>mekanik</v>
      </c>
    </row>
    <row r="199" ht="45" customHeight="1" xml:space="preserve">
      <c r="A199" s="1">
        <v>192</v>
      </c>
      <c r="B199" s="1">
        <v>192</v>
      </c>
      <c r="C199" t="str" xml:space="preserve">
        <v xml:space="preserve">12.000 W, Tavan Tipi Isı geri kazanım Cihazı Elektrikli Isıtıcı_x000d_
üniteleri</v>
      </c>
      <c r="D199" t="str">
        <v>adet</v>
      </c>
      <c r="E199" s="1">
        <v>2</v>
      </c>
      <c r="F199" s="2">
        <v>29237.1</v>
      </c>
      <c r="G199" s="2">
        <f>IF(F199="","",E199*F199)</f>
        <v>58474.2</v>
      </c>
      <c r="H199" t="str">
        <v>25.467.1206</v>
      </c>
      <c r="I199" t="str">
        <v>12000 W</v>
      </c>
      <c r="J199" t="str">
        <v/>
      </c>
      <c r="K199" s="2">
        <v>29237.1</v>
      </c>
      <c r="L199" s="2">
        <v>3858.14</v>
      </c>
      <c r="M199" s="1">
        <v>97</v>
      </c>
      <c r="N199" t="str">
        <v>mekanik</v>
      </c>
    </row>
    <row r="200" ht="75" customHeight="1" xml:space="preserve">
      <c r="A200" s="1">
        <v>193</v>
      </c>
      <c r="B200" s="1">
        <v>193</v>
      </c>
      <c r="C200" t="str" xml:space="preserve">
        <v xml:space="preserve">En geniş kenarı 600 mm'ye kadar (600 mm dahil) olanlarda 0,60 mm, Galvanizli sacdan projedeki ölçülerde dikdörtgen hava kanalı_x000d_
yapılması</v>
      </c>
      <c r="D200" t="str">
        <v>metrekare</v>
      </c>
      <c r="E200" s="3">
        <v>364.5</v>
      </c>
      <c r="F200" s="2">
        <v>1605.88</v>
      </c>
      <c r="G200" s="2">
        <f>IF(F200="","",E200*F200)</f>
        <v>585343.26</v>
      </c>
      <c r="H200" t="str">
        <v>25.470.1101</v>
      </c>
      <c r="I200" t="str">
        <v>En geniş kenarı 600 mm.ye kadar (600 mm dahil ) olanlarda 0,60 mm.</v>
      </c>
      <c r="J200" t="str">
        <v>m2</v>
      </c>
      <c r="K200" s="2">
        <v>1605.88</v>
      </c>
      <c r="L200" s="2">
        <v>893.29</v>
      </c>
      <c r="M200" s="1">
        <v>88</v>
      </c>
      <c r="N200" t="str">
        <v>mekanik</v>
      </c>
      <c r="O200" t="str">
        <v>25.470.1202 (22)</v>
      </c>
    </row>
    <row r="201" ht="60" customHeight="1" xml:space="preserve">
      <c r="A201" s="1">
        <v>194</v>
      </c>
      <c r="B201" s="1">
        <v>194</v>
      </c>
      <c r="C201" t="str" xml:space="preserve">
        <v xml:space="preserve">Ø=315 mm'ye kadar 0,60 mm, Kenetli spiral yoluyla, galvanizli sacdan silindirik hava kanalı_x000d_
yapılması</v>
      </c>
      <c r="D201" t="str">
        <v>metrekare</v>
      </c>
      <c r="E201" s="3">
        <v>78.5</v>
      </c>
      <c r="F201" s="2">
        <v>1713.29</v>
      </c>
      <c r="G201" s="2">
        <f>IF(F201="","",E201*F201)</f>
        <v>134493.26</v>
      </c>
      <c r="H201" t="str">
        <v>25.470.1202</v>
      </c>
      <c r="I201" t="str">
        <v>Ø 315 mm e kadar 0,60 mm</v>
      </c>
      <c r="J201" t="str">
        <v>m2</v>
      </c>
      <c r="K201" s="2">
        <v>1713.29</v>
      </c>
      <c r="L201" s="2">
        <v>1043.44</v>
      </c>
      <c r="M201" s="1">
        <v>75</v>
      </c>
      <c r="N201" t="str">
        <v>mekanik</v>
      </c>
      <c r="O201" t="str">
        <v>25.470.1101 (29)</v>
      </c>
    </row>
    <row r="202" ht="60" customHeight="1" xml:space="preserve">
      <c r="A202" s="1">
        <v>195</v>
      </c>
      <c r="B202" s="1">
        <v>195</v>
      </c>
      <c r="C202" t="str" xml:space="preserve">
        <v xml:space="preserve">Ø=800 mm'ye kadar 0,80 mm, Kenetli spiral yoluyla, galvanizli sacdan silindirik hava kanalı_x000d_
yapılması</v>
      </c>
      <c r="D202" t="str">
        <v>metrekare</v>
      </c>
      <c r="E202" s="1">
        <v>22</v>
      </c>
      <c r="F202" s="2">
        <v>2148.03</v>
      </c>
      <c r="G202" s="2">
        <f>IF(F202="","",E202*F202)</f>
        <v>47256.66</v>
      </c>
      <c r="H202" t="str">
        <v>25.470.1203</v>
      </c>
      <c r="I202" t="str">
        <v>Ø 800 mm e kadar 0,80 mm</v>
      </c>
      <c r="J202" t="str">
        <v>m2</v>
      </c>
      <c r="K202" s="2">
        <v>2148.03</v>
      </c>
      <c r="L202" s="2">
        <v>1268.68</v>
      </c>
      <c r="M202" s="1">
        <v>75</v>
      </c>
      <c r="N202" t="str">
        <v>mekanik</v>
      </c>
      <c r="O202" t="str">
        <v>25.470.1102 (29)</v>
      </c>
    </row>
    <row r="203" ht="75" customHeight="1" xml:space="preserve">
      <c r="A203" s="1">
        <v>196</v>
      </c>
      <c r="B203" s="1">
        <v>196</v>
      </c>
      <c r="C203" t="str" xml:space="preserve">
        <v xml:space="preserve">Alüminyum-polyester laminasyonlu tam esnek borudan hava kanalları (Bükülebilir boru hava kanalı montaj malzemesi,_x000d_
%35 eklenmiş.)</v>
      </c>
      <c r="D203" t="str">
        <v>metrekare</v>
      </c>
      <c r="E203" s="3">
        <v>27.8</v>
      </c>
      <c r="F203" s="2">
        <v>1099</v>
      </c>
      <c r="G203" s="2">
        <f>IF(F203="","",E203*F203)</f>
        <v>30552.2</v>
      </c>
      <c r="H203" t="str">
        <v>25.470.5203</v>
      </c>
      <c r="I203" t="str">
        <v>Cam yünü ile ısı yalıtımlı Hijyenik Alüminyum-Polyester laminasyonlu tam esnek</v>
      </c>
      <c r="J203" t="str">
        <v/>
      </c>
      <c r="K203" s="2">
        <v>1099</v>
      </c>
      <c r="L203" s="2">
        <v>375.39</v>
      </c>
      <c r="M203" s="1">
        <v>53</v>
      </c>
      <c r="N203" t="str">
        <v>mekanik</v>
      </c>
      <c r="O203" t="str">
        <v>25.470.5202 (49)</v>
      </c>
    </row>
    <row r="204" ht="75" customHeight="1" xml:space="preserve">
      <c r="A204" s="1">
        <v>197</v>
      </c>
      <c r="B204" s="1">
        <v>197</v>
      </c>
      <c r="C204" t="str" xml:space="preserve">
        <v xml:space="preserve">Cam yünü ile Isı yalıtımlı alüminyum-polyester laminasyonlu tam esnek (flexible) izoleli hava kanallar (Bükülebilir boru hava kanalı montaj_x000d_
malzemesi, %35 eklenmiş.)</v>
      </c>
      <c r="D204" t="str">
        <v>metrekare</v>
      </c>
      <c r="E204" s="1">
        <v>28</v>
      </c>
      <c r="F204" s="2">
        <v>885.91</v>
      </c>
      <c r="G204" s="2">
        <f>IF(F204="","",E204*F204)</f>
        <v>24805.48</v>
      </c>
      <c r="H204" t="str">
        <v>25.470.5202</v>
      </c>
      <c r="I204" t="str">
        <v>Cam yünü ile Isı yalıtımlı alüminyum-polyester laminasyonlu tam esnek (flexible) izoleli</v>
      </c>
      <c r="J204" t="str">
        <v/>
      </c>
      <c r="K204" s="2">
        <v>885.91</v>
      </c>
      <c r="L204" s="2">
        <v>375.39</v>
      </c>
      <c r="M204" s="1">
        <v>77</v>
      </c>
      <c r="N204" t="str">
        <v>mekanik</v>
      </c>
      <c r="O204" t="str">
        <v>25.470.5203 (60)</v>
      </c>
    </row>
    <row r="205" ht="30" customHeight="1">
      <c r="A205" s="1">
        <v>198</v>
      </c>
      <c r="B205" s="1">
        <v>198</v>
      </c>
      <c r="C205" t="str">
        <v>0,10 m²'ye kadar (1 m² fiyatı), Sigortalı Yangın Damperi</v>
      </c>
      <c r="D205" t="str">
        <v>metrekare</v>
      </c>
      <c r="E205" s="6">
        <v>0.92</v>
      </c>
      <c r="F205" s="2">
        <v>78999.44</v>
      </c>
      <c r="G205" s="2">
        <f>IF(F205="","",E205*F205)</f>
        <v>72679.48</v>
      </c>
      <c r="H205" t="str">
        <v>25.472.2101</v>
      </c>
      <c r="I205" t="str">
        <v>0,10 m2'ye kadar(1 m2 fiyatı)</v>
      </c>
      <c r="J205" t="str">
        <v>m²</v>
      </c>
      <c r="K205" s="2">
        <v>78999.44</v>
      </c>
      <c r="L205" s="2">
        <v>9009.3</v>
      </c>
      <c r="M205" s="1">
        <v>66</v>
      </c>
      <c r="N205" t="str">
        <v>mekanik</v>
      </c>
      <c r="O205" t="str">
        <v>25.472.2201 (56)</v>
      </c>
    </row>
    <row r="206" ht="15" customHeight="1">
      <c r="A206" s="1">
        <v>199</v>
      </c>
      <c r="B206" s="1">
        <v>199</v>
      </c>
      <c r="C206" t="str">
        <v>100-500 cm², Dağıtıcı menfez</v>
      </c>
      <c r="D206" t="str">
        <v>adet</v>
      </c>
      <c r="E206" s="1">
        <v>9</v>
      </c>
      <c r="F206" s="2">
        <v>845.39</v>
      </c>
      <c r="G206" s="2">
        <f>IF(F206="","",E206*F206)</f>
        <v>7608.51</v>
      </c>
      <c r="H206" t="str">
        <v>25.475.1101</v>
      </c>
      <c r="I206" t="str">
        <v>100- 500 cm2</v>
      </c>
      <c r="J206" t="str">
        <v>Ad</v>
      </c>
      <c r="K206" s="2">
        <v>845.39</v>
      </c>
      <c r="L206" s="2">
        <v>375.39</v>
      </c>
      <c r="M206" s="1">
        <v>57</v>
      </c>
      <c r="N206" t="str">
        <v>mekanik</v>
      </c>
      <c r="O206" t="str">
        <v>25.475.6001 (35)</v>
      </c>
    </row>
    <row r="207" ht="15" customHeight="1">
      <c r="C207" t="str">
        <v>(DKP sac) (çift sıra kanatlı)</v>
      </c>
    </row>
    <row r="208" ht="30" customHeight="1">
      <c r="A208" s="1">
        <v>200</v>
      </c>
      <c r="B208" s="1">
        <v>200</v>
      </c>
      <c r="C208" t="str">
        <v>100-500 cm², Toplayıcı menfez (DKP sac) (Tek sıra kanatlı)</v>
      </c>
      <c r="D208" t="str">
        <v>adet</v>
      </c>
      <c r="E208" s="1">
        <v>6</v>
      </c>
      <c r="F208" s="2">
        <v>724.1</v>
      </c>
      <c r="G208" s="2">
        <f>IF(F208="","",E208*F208)</f>
        <v>4344.6</v>
      </c>
      <c r="H208" t="str">
        <v>25.475.1201</v>
      </c>
      <c r="I208" t="str">
        <v>100- 500 cm2</v>
      </c>
      <c r="J208" t="str">
        <v>Ad</v>
      </c>
      <c r="K208" s="2">
        <v>724.1</v>
      </c>
      <c r="L208" s="2">
        <v>375.39</v>
      </c>
      <c r="M208" s="1">
        <v>63</v>
      </c>
      <c r="N208" t="str">
        <v>mekanik</v>
      </c>
      <c r="O208" t="str">
        <v>25.475.1101 (40)</v>
      </c>
    </row>
    <row r="209" ht="30" customHeight="1" xml:space="preserve">
      <c r="A209" s="1">
        <v>201</v>
      </c>
      <c r="B209" s="1">
        <v>201</v>
      </c>
      <c r="C209" t="str" xml:space="preserve">
        <v xml:space="preserve">150x 150, Düz kanatlı Kare_x000d_
Sacdan Anemostat</v>
      </c>
      <c r="D209" t="str">
        <v>adet</v>
      </c>
      <c r="E209" s="1">
        <v>10</v>
      </c>
      <c r="F209" s="2">
        <v>1601.7</v>
      </c>
      <c r="G209" s="2">
        <f>IF(F209="","",E209*F209)</f>
        <v>16017</v>
      </c>
      <c r="H209" t="str">
        <v>25.475.4401</v>
      </c>
      <c r="I209" t="str">
        <v>150x 150</v>
      </c>
      <c r="J209" t="str">
        <v>Ad</v>
      </c>
      <c r="K209" s="2">
        <v>1601.7</v>
      </c>
      <c r="L209" s="2">
        <v>332.29</v>
      </c>
      <c r="M209" s="1">
        <v>87</v>
      </c>
      <c r="N209" t="str">
        <v>mekanik</v>
      </c>
      <c r="O209" t="str">
        <v>25.475.4301 (68)</v>
      </c>
    </row>
    <row r="210" ht="30" customHeight="1" xml:space="preserve">
      <c r="A210" s="1">
        <v>202</v>
      </c>
      <c r="B210" s="1">
        <v>202</v>
      </c>
      <c r="C210" t="str" xml:space="preserve">
        <v xml:space="preserve">225x 225, Düz kanatlı Kare_x000d_
Sacdan Anemostat</v>
      </c>
      <c r="D210" t="str">
        <v>adet</v>
      </c>
      <c r="E210" s="1">
        <v>26</v>
      </c>
      <c r="F210" s="2">
        <v>1915.95</v>
      </c>
      <c r="G210" s="2">
        <f>IF(F210="","",E210*F210)</f>
        <v>49814.7</v>
      </c>
      <c r="H210" t="str">
        <v>25.475.4402</v>
      </c>
      <c r="I210" t="str">
        <v>225x 225</v>
      </c>
      <c r="J210" t="str">
        <v>Ad</v>
      </c>
      <c r="K210" s="2">
        <v>1915.95</v>
      </c>
      <c r="L210" s="2">
        <v>332.29</v>
      </c>
      <c r="M210" s="1">
        <v>87</v>
      </c>
      <c r="N210" t="str">
        <v>mekanik</v>
      </c>
      <c r="O210" t="str">
        <v>25.475.4302 (68)</v>
      </c>
    </row>
    <row r="211" ht="30" customHeight="1">
      <c r="A211" s="1">
        <v>203</v>
      </c>
      <c r="B211" s="1">
        <v>203</v>
      </c>
      <c r="C211" t="str">
        <v>100-500 cm², Menfez damperi (DKP sac)</v>
      </c>
      <c r="D211" t="str">
        <v>adet</v>
      </c>
      <c r="E211" s="1">
        <v>15</v>
      </c>
      <c r="F211" s="2">
        <v>619.11</v>
      </c>
      <c r="G211" s="2">
        <f>IF(F211="","",E211*F211)</f>
        <v>9286.65</v>
      </c>
      <c r="H211" t="str">
        <v>25.475.6001</v>
      </c>
      <c r="I211" t="str">
        <v>100- 500 cm2</v>
      </c>
      <c r="J211" t="str">
        <v/>
      </c>
      <c r="K211" s="2">
        <v>619.11</v>
      </c>
      <c r="L211" s="2">
        <v>187.7</v>
      </c>
      <c r="M211" s="1">
        <v>50</v>
      </c>
      <c r="N211" t="str">
        <v>mekanik</v>
      </c>
      <c r="O211" t="str">
        <v>25.475.6201 (46)</v>
      </c>
    </row>
    <row r="212" ht="15" customHeight="1">
      <c r="A212" s="1">
        <v>204</v>
      </c>
      <c r="B212" s="1">
        <v>204</v>
      </c>
      <c r="C212" t="str">
        <v>Ø 100 mm Gemici Tipi anemostat</v>
      </c>
      <c r="D212" t="str">
        <v>adet</v>
      </c>
      <c r="E212" s="1">
        <v>10</v>
      </c>
      <c r="F212" s="2">
        <v>634.28</v>
      </c>
      <c r="G212" s="2">
        <f>IF(F212="","",E212*F212)</f>
        <v>6342.8</v>
      </c>
      <c r="H212" t="str">
        <v>25.475.6501</v>
      </c>
      <c r="I212" t="str">
        <v>ø 100 mm</v>
      </c>
      <c r="J212" t="str">
        <v>Ad</v>
      </c>
      <c r="K212" s="2">
        <v>634.28</v>
      </c>
      <c r="L212" s="2">
        <v>187.7</v>
      </c>
      <c r="M212" s="1">
        <v>72</v>
      </c>
      <c r="N212" t="str">
        <v>mekanik</v>
      </c>
    </row>
    <row r="213" ht="15" customHeight="1">
      <c r="A213" s="1">
        <v>205</v>
      </c>
      <c r="B213" s="1">
        <v>205</v>
      </c>
      <c r="C213" t="str">
        <v>Ø 150 mm Gemici Tipi anemostat</v>
      </c>
      <c r="D213" t="str">
        <v>adet</v>
      </c>
      <c r="E213" s="1">
        <v>44</v>
      </c>
      <c r="F213" s="2">
        <v>849.61</v>
      </c>
      <c r="G213" s="2">
        <f>IF(F213="","",E213*F213)</f>
        <v>37382.84</v>
      </c>
      <c r="H213" t="str">
        <v>25.475.6503</v>
      </c>
      <c r="I213" t="str">
        <v>ø 150 mm</v>
      </c>
      <c r="J213" t="str">
        <v>Ad</v>
      </c>
      <c r="K213" s="2">
        <v>849.61</v>
      </c>
      <c r="L213" s="2">
        <v>225.24</v>
      </c>
      <c r="M213" s="1">
        <v>73</v>
      </c>
      <c r="N213" t="str">
        <v>mekanik</v>
      </c>
      <c r="O213" t="str">
        <v>35.172.1108 (25)</v>
      </c>
    </row>
    <row r="214" ht="15" customHeight="1">
      <c r="A214" s="1">
        <v>206</v>
      </c>
      <c r="B214" s="1">
        <v>206</v>
      </c>
      <c r="C214" t="str">
        <v>Üç Slotlu lineer difuzör</v>
      </c>
      <c r="D214" t="str">
        <v>metre</v>
      </c>
      <c r="E214" s="1">
        <v>13</v>
      </c>
      <c r="F214" s="2">
        <v>4199.78</v>
      </c>
      <c r="G214" s="2">
        <f>IF(F214="","",E214*F214)</f>
        <v>54597.14</v>
      </c>
      <c r="H214" t="str">
        <v>25.475.7103</v>
      </c>
      <c r="I214" t="str">
        <v>Üç Slotlu lineer difuzör</v>
      </c>
      <c r="J214" t="str">
        <v>m</v>
      </c>
      <c r="K214" s="2">
        <v>4199.78</v>
      </c>
      <c r="L214" s="2">
        <v>1126.16</v>
      </c>
      <c r="M214" s="1">
        <v>90</v>
      </c>
      <c r="N214" t="str">
        <v>mekanik</v>
      </c>
      <c r="O214" t="str">
        <v>25.475.7102 (70)</v>
      </c>
    </row>
    <row r="215" ht="15" customHeight="1">
      <c r="A215" s="1">
        <v>207</v>
      </c>
      <c r="B215" s="1">
        <v>207</v>
      </c>
      <c r="C215" t="str">
        <v>Galvanizli sacdan panjur</v>
      </c>
      <c r="D215" t="str">
        <v>metrekare</v>
      </c>
      <c r="E215" s="6">
        <v>1.67</v>
      </c>
      <c r="F215" s="2">
        <v>10261.54</v>
      </c>
      <c r="G215" s="2">
        <f>IF(F215="","",E215*F215)</f>
        <v>17136.77</v>
      </c>
      <c r="H215" t="str">
        <v>25.475.8101</v>
      </c>
      <c r="I215" t="str">
        <v>Galvanizli sacdan</v>
      </c>
      <c r="J215" t="str">
        <v>m2</v>
      </c>
      <c r="K215" s="2">
        <v>10261.54</v>
      </c>
      <c r="L215" s="2">
        <v>1126.16</v>
      </c>
      <c r="M215" s="1">
        <v>72</v>
      </c>
      <c r="N215" t="str">
        <v>mekanik</v>
      </c>
      <c r="O215" t="str">
        <v>25.475.8301 (39)</v>
      </c>
    </row>
    <row r="216" ht="15" customHeight="1">
      <c r="A216" s="1">
        <v>208</v>
      </c>
      <c r="B216" s="1">
        <v>208</v>
      </c>
      <c r="C216" t="str">
        <v>TEL KAFES</v>
      </c>
      <c r="D216" t="str">
        <v>metrekare</v>
      </c>
      <c r="E216" s="6">
        <v>1.67</v>
      </c>
      <c r="F216" s="2">
        <v>1254.74</v>
      </c>
      <c r="G216" s="2">
        <f>IF(F216="","",E216*F216)</f>
        <v>2095.42</v>
      </c>
      <c r="H216" t="str">
        <v>25.475.8200</v>
      </c>
      <c r="I216" t="str">
        <v>TEL KAFES: (Ölçü: m2.) Menfezlere takılmak üzere en az 1ø mm.lik galvanizli telden tel kafesin temini, çerçevesi ve yerine montajı dahil tam ve tekmil.</v>
      </c>
      <c r="J216" t="str">
        <v>m2</v>
      </c>
      <c r="K216" s="2">
        <v>1254.74</v>
      </c>
      <c r="L216" s="2">
        <v>375.39</v>
      </c>
      <c r="M216" s="1">
        <v>57</v>
      </c>
      <c r="N216" t="str">
        <v>mekanik</v>
      </c>
    </row>
    <row r="217" ht="90" customHeight="1" xml:space="preserve">
      <c r="A217" s="1">
        <v>209</v>
      </c>
      <c r="B217" s="1">
        <v>209</v>
      </c>
      <c r="C217" t="str" xml:space="preserve">
        <v xml:space="preserve">İç mekanlarda kanal yalıtımı, levha genişliği 1.000 mm, et kalınlığı 19 mm, toplam kalınlığı 75-300 mikron olan alüminyum_x000d_
folyo kaplı elastomerik kauçuk köpüğü yalıtım levhası ile</v>
      </c>
      <c r="D217" t="str">
        <v>metrekare</v>
      </c>
      <c r="E217" s="3">
        <v>311.5</v>
      </c>
      <c r="F217" s="2">
        <v>842.66</v>
      </c>
      <c r="G217" s="2">
        <f>IF(F217="","",E217*F217)</f>
        <v>262488.59</v>
      </c>
      <c r="H217" t="str">
        <v>25.480.1851</v>
      </c>
      <c r="I217" t="str">
        <v>1000</v>
      </c>
      <c r="J217" t="str">
        <v>m2</v>
      </c>
      <c r="K217" s="2">
        <v>842.66</v>
      </c>
      <c r="L217" s="2">
        <v>258.6</v>
      </c>
      <c r="M217" s="1">
        <v>46</v>
      </c>
      <c r="N217" t="str">
        <v>mekanik</v>
      </c>
      <c r="O217" t="str">
        <v>25.480.1852 (46)</v>
      </c>
    </row>
    <row r="218" ht="45" customHeight="1">
      <c r="A218" s="1">
        <v>210</v>
      </c>
      <c r="B218" s="1">
        <v>210</v>
      </c>
      <c r="C218" t="str">
        <v>Soğutma kapasitesi (nom):3.3 kW., ısıtma kapasitesi (nom):3.5 kW, Duvar Tipi Split klimalar</v>
      </c>
      <c r="D218" t="str">
        <v>adet</v>
      </c>
      <c r="E218" s="1">
        <v>3</v>
      </c>
      <c r="F218" s="2">
        <v>54739.43</v>
      </c>
      <c r="G218" s="2">
        <f>IF(F218="","",E218*F218)</f>
        <v>164218.29</v>
      </c>
      <c r="H218" t="str">
        <v>25.489.1102</v>
      </c>
      <c r="I218" t="str">
        <v>Soğutma kapasitesi (nom):3.3 kW., ısıtma kapasitesi (nom):3.5 kW.</v>
      </c>
      <c r="J218" t="str">
        <v>Ad</v>
      </c>
      <c r="K218" s="2">
        <v>54739.43</v>
      </c>
      <c r="L218" s="2">
        <v>4504.65</v>
      </c>
      <c r="M218" s="1">
        <v>78</v>
      </c>
      <c r="N218" t="str">
        <v>mekanik</v>
      </c>
      <c r="O218" t="str">
        <v>25.489.1103 (51)</v>
      </c>
    </row>
    <row r="219" ht="45" customHeight="1" xml:space="preserve">
      <c r="A219" s="1">
        <v>211</v>
      </c>
      <c r="B219" s="1">
        <v>211</v>
      </c>
      <c r="C219" t="str" xml:space="preserve">
        <v xml:space="preserve">Soğutma kapasitesi (nom):6 kW., ısıtma kapasitesi (nom) :6,4kW,_x000d_
Duvar Tipi Split klimalar</v>
      </c>
      <c r="D219" t="str">
        <v>adet</v>
      </c>
      <c r="E219" s="1">
        <v>4</v>
      </c>
      <c r="F219" s="2">
        <v>76093.44</v>
      </c>
      <c r="G219" s="2">
        <f>IF(F219="","",E219*F219)</f>
        <v>304373.76</v>
      </c>
      <c r="H219" t="str">
        <v>25.489.1104</v>
      </c>
      <c r="I219" t="str">
        <v>Soğutma kapasitesi (nom):6 kW., ısıtma kapasitesi (nom):6,4kW.</v>
      </c>
      <c r="J219" t="str">
        <v>Ad</v>
      </c>
      <c r="K219" s="2">
        <v>76093.44</v>
      </c>
      <c r="L219" s="2">
        <v>6006.2</v>
      </c>
      <c r="M219" s="1">
        <v>80</v>
      </c>
      <c r="N219" t="str">
        <v>mekanik</v>
      </c>
      <c r="O219" t="str">
        <v>25.490.2104 (37)</v>
      </c>
    </row>
    <row r="220" ht="45" customHeight="1" xml:space="preserve">
      <c r="A220" s="1">
        <v>212</v>
      </c>
      <c r="B220" s="1">
        <v>212</v>
      </c>
      <c r="C220" t="str" xml:space="preserve">
        <v xml:space="preserve">Soğutma kapasitesi (nom):50 kW., ısıtma kapasitesi (nom):50_x000d_
kW.</v>
      </c>
      <c r="D220" t="str">
        <v>adet</v>
      </c>
      <c r="E220" s="1">
        <v>2</v>
      </c>
      <c r="F220" s="2">
        <v>552324.5</v>
      </c>
      <c r="G220" s="2">
        <f>IF(F220="","",E220*F220)</f>
        <v>1104649</v>
      </c>
      <c r="H220" t="str">
        <v>25.490.1106</v>
      </c>
      <c r="I220" t="str">
        <v>Soğutma kapasitesi (nom):50 kW., ısıtma kapasitesi (nom):50 kW.</v>
      </c>
      <c r="J220" t="str">
        <v>Ad</v>
      </c>
      <c r="K220" s="2">
        <v>552324.5</v>
      </c>
      <c r="L220" s="2">
        <v>19259.1</v>
      </c>
      <c r="M220" s="1">
        <v>74</v>
      </c>
      <c r="N220" t="str">
        <v>mekanik</v>
      </c>
      <c r="O220" t="str">
        <v>25.500.1106 (62)</v>
      </c>
    </row>
    <row r="221" ht="45" customHeight="1" xml:space="preserve">
      <c r="A221" s="1">
        <v>213</v>
      </c>
      <c r="B221" s="1">
        <v>213</v>
      </c>
      <c r="C221" t="str" xml:space="preserve">
        <v xml:space="preserve">Soğutma kapasitesi (nom):78 kW., ısıtma kapasitesi (nom):78_x000d_
kW.</v>
      </c>
      <c r="D221" t="str">
        <v>adet</v>
      </c>
      <c r="E221" s="1">
        <v>1</v>
      </c>
      <c r="F221" s="2">
        <v>841592.48</v>
      </c>
      <c r="G221" s="2">
        <f>IF(F221="","",E221*F221)</f>
        <v>841592.48</v>
      </c>
      <c r="H221" t="str">
        <v>25.490.1111</v>
      </c>
      <c r="I221" t="str">
        <v>Soğutma kapasitesi (nom):78 kW., ısıtma kapasitesi (nom):78 kW.</v>
      </c>
      <c r="J221" t="str">
        <v>Ad</v>
      </c>
      <c r="K221" s="2">
        <v>841592.48</v>
      </c>
      <c r="L221" s="2">
        <v>24422.25</v>
      </c>
      <c r="M221" s="1">
        <v>77</v>
      </c>
      <c r="N221" t="str">
        <v>mekanik</v>
      </c>
    </row>
    <row r="222" ht="45" customHeight="1" xml:space="preserve">
      <c r="A222" s="1">
        <v>214</v>
      </c>
      <c r="B222" s="1">
        <v>214</v>
      </c>
      <c r="C222" t="str" xml:space="preserve">
        <v xml:space="preserve">Soğutma kapasitesi (nom):94 kW., ısıtma kapasitesi (nom):94_x000d_
kW.</v>
      </c>
      <c r="D222" t="str">
        <v>adet</v>
      </c>
      <c r="E222" s="1">
        <v>1</v>
      </c>
      <c r="F222" s="2">
        <v>1031841.5</v>
      </c>
      <c r="G222" s="2">
        <f>IF(F222="","",E222*F222)</f>
        <v>1031841.5</v>
      </c>
      <c r="H222" t="str">
        <v>25.490.1114</v>
      </c>
      <c r="I222" t="str">
        <v>Soğutma kapasitesi (nom):94 kW., ısıtma kapasitesi (nom):94 kW.</v>
      </c>
      <c r="J222" t="str">
        <v>Ad</v>
      </c>
      <c r="K222" s="2">
        <v>1031841.5</v>
      </c>
      <c r="L222" s="2">
        <v>27280.15</v>
      </c>
      <c r="M222" s="1">
        <v>78</v>
      </c>
      <c r="N222" t="str">
        <v>mekanik</v>
      </c>
    </row>
    <row r="223" ht="30" customHeight="1">
      <c r="A223" s="1">
        <v>215</v>
      </c>
      <c r="B223" s="1">
        <v>215</v>
      </c>
      <c r="C223" t="str">
        <v>Soğutma kapasitesi (nom)105 kW., ısıtma kapasitesi (nom):105 kW.</v>
      </c>
      <c r="D223" t="str">
        <v>adet</v>
      </c>
      <c r="E223" s="1">
        <v>1</v>
      </c>
      <c r="F223" s="2">
        <v>1124768.98</v>
      </c>
      <c r="G223" s="2">
        <f>IF(F223="","",E223*F223)</f>
        <v>1124768.98</v>
      </c>
      <c r="H223" t="str">
        <v>25.490.1116</v>
      </c>
      <c r="I223" t="str">
        <v>Soğutma kapasitesi (nom)105 kW., ısıtma kapasitesi (nom):105 kW.</v>
      </c>
      <c r="J223" t="str">
        <v>Ad</v>
      </c>
      <c r="K223" s="2">
        <v>1124768.98</v>
      </c>
      <c r="L223" s="2">
        <v>30200.85</v>
      </c>
      <c r="M223" s="1">
        <v>76</v>
      </c>
      <c r="N223" t="str">
        <v>mekanik</v>
      </c>
    </row>
    <row r="224" ht="45" customHeight="1" xml:space="preserve">
      <c r="A224" s="1">
        <v>216</v>
      </c>
      <c r="B224" s="1">
        <v>216</v>
      </c>
      <c r="C224" t="str" xml:space="preserve">
        <v xml:space="preserve">Soğutma kapasitesi (nom):129 kW., ısıtma kapasitesi (nom):129_x000d_
kW.</v>
      </c>
      <c r="D224" t="str">
        <v>adet</v>
      </c>
      <c r="E224" s="1">
        <v>1</v>
      </c>
      <c r="F224" s="2">
        <v>1367431.65</v>
      </c>
      <c r="G224" s="2">
        <f>IF(F224="","",E224*F224)</f>
        <v>1367431.65</v>
      </c>
      <c r="H224" t="str">
        <v>25.490.1120</v>
      </c>
      <c r="I224" t="str">
        <v>Soğutma kapasitesi (nom):129 kW., ısıtma kapasitesi (nom):129 kW.</v>
      </c>
      <c r="J224" t="str">
        <v>Ad</v>
      </c>
      <c r="K224" s="2">
        <v>1367431.65</v>
      </c>
      <c r="L224" s="2">
        <v>40267.8</v>
      </c>
      <c r="M224" s="1">
        <v>77</v>
      </c>
      <c r="N224" t="str">
        <v>mekanik</v>
      </c>
    </row>
    <row r="225" ht="45" customHeight="1" xml:space="preserve">
      <c r="A225" s="1">
        <v>217</v>
      </c>
      <c r="B225" s="1">
        <v>217</v>
      </c>
      <c r="C225" t="str" xml:space="preserve">
        <v xml:space="preserve">Soğutma kapasitesi (nom):12 kW., ısıtma kapasitesi (nom):12_x000d_
kW.</v>
      </c>
      <c r="D225" t="str">
        <v>adet</v>
      </c>
      <c r="E225" s="1">
        <v>2</v>
      </c>
      <c r="F225" s="2">
        <v>171961.25</v>
      </c>
      <c r="G225" s="2">
        <f>IF(F225="","",E225*F225)</f>
        <v>343922.5</v>
      </c>
      <c r="H225" t="str">
        <v>25.490.1502</v>
      </c>
      <c r="I225" t="str">
        <v>Soğutma kapasitesi (nom):12 kW., ısıtma kapasitesi (nom):12 kW.</v>
      </c>
      <c r="J225" t="str">
        <v/>
      </c>
      <c r="K225" s="2">
        <v>171961.25</v>
      </c>
      <c r="L225" s="2">
        <v>7507.75</v>
      </c>
      <c r="M225" s="1">
        <v>86</v>
      </c>
      <c r="N225" t="str">
        <v>mekanik</v>
      </c>
      <c r="O225" t="str">
        <v>25.490.2209 (74)</v>
      </c>
    </row>
    <row r="226" ht="45" customHeight="1" xml:space="preserve">
      <c r="A226" s="1">
        <v>218</v>
      </c>
      <c r="B226" s="1">
        <v>218</v>
      </c>
      <c r="C226" t="str" xml:space="preserve">
        <v xml:space="preserve">Soğutma kapasitesi (nom):2-2,5 kW, ısıtma kapasitesi (nom):2,5-3_x000d_
kW. Kaset tipi iç ünite</v>
      </c>
      <c r="D226" t="str">
        <v>adet</v>
      </c>
      <c r="E226" s="1">
        <v>10</v>
      </c>
      <c r="F226" s="2">
        <v>41383</v>
      </c>
      <c r="G226" s="2">
        <f>IF(F226="","",E226*F226)</f>
        <v>413830</v>
      </c>
      <c r="H226" t="str">
        <v>25.490.2201</v>
      </c>
      <c r="I226" t="str">
        <v>Soğutma kapasitesi (nom):2-2,5 KW ısıtma kapasitesi (nom):2,5-3 KW</v>
      </c>
      <c r="J226" t="str">
        <v>Ad</v>
      </c>
      <c r="K226" s="2">
        <v>41383</v>
      </c>
      <c r="L226" s="2">
        <v>6949.71</v>
      </c>
      <c r="M226" s="1">
        <v>82</v>
      </c>
      <c r="N226" t="str">
        <v>mekanik</v>
      </c>
      <c r="O226" t="str">
        <v>25.490.2101 (76)</v>
      </c>
    </row>
    <row r="227" ht="45" customHeight="1" xml:space="preserve">
      <c r="A227" s="1">
        <v>219</v>
      </c>
      <c r="B227" s="1">
        <v>219</v>
      </c>
      <c r="C227" t="str" xml:space="preserve">
        <v xml:space="preserve">Soğutma kapasitesi (nom):2,5-3 kW, ısıtma kapasitesi (nom):3-3,5_x000d_
kW. Kaset tipi iç ünite</v>
      </c>
      <c r="D227" t="str">
        <v>adet</v>
      </c>
      <c r="E227" s="1">
        <v>45</v>
      </c>
      <c r="F227" s="2">
        <v>43113.39</v>
      </c>
      <c r="G227" s="2">
        <f>IF(F227="","",E227*F227)</f>
        <v>1940102.55</v>
      </c>
      <c r="H227" t="str">
        <v>25.490.2202</v>
      </c>
      <c r="I227" t="str">
        <v>Soğutma kapasitesi (nom):2,5-3 KW ısıtma kapasitesi (nom):3-3,5 KW</v>
      </c>
      <c r="J227" t="str">
        <v>Ad</v>
      </c>
      <c r="K227" s="2">
        <v>43113.39</v>
      </c>
      <c r="L227" s="2">
        <v>6949.71</v>
      </c>
      <c r="M227" s="1">
        <v>83</v>
      </c>
      <c r="N227" t="str">
        <v>mekanik</v>
      </c>
      <c r="O227" t="str">
        <v>25.490.2102 (78)</v>
      </c>
    </row>
    <row r="228" ht="45" customHeight="1" xml:space="preserve">
      <c r="A228" s="1">
        <v>220</v>
      </c>
      <c r="B228" s="1">
        <v>220</v>
      </c>
      <c r="C228" t="str" xml:space="preserve">
        <v xml:space="preserve">Soğutma kapasitesi (nom):3-4_x000d_
kW, ısıtma kapasitesi (nom):3,5- 4,5 kW. Kaset tipi iç ünite</v>
      </c>
      <c r="D228" t="str">
        <v>adet</v>
      </c>
      <c r="E228" s="1">
        <v>12</v>
      </c>
      <c r="F228" s="2">
        <v>44884.01</v>
      </c>
      <c r="G228" s="2">
        <f>IF(F228="","",E228*F228)</f>
        <v>538608.12</v>
      </c>
      <c r="H228" t="str">
        <v>25.490.2203</v>
      </c>
      <c r="I228" t="str">
        <v>Soğutma kapasitesi (nom):3-4 KW ısıtma kapasitesi (nom):3,5-4,5 KW</v>
      </c>
      <c r="J228" t="str">
        <v>Ad</v>
      </c>
      <c r="K228" s="2">
        <v>44884.01</v>
      </c>
      <c r="L228" s="2">
        <v>6949.71</v>
      </c>
      <c r="M228" s="1">
        <v>84</v>
      </c>
      <c r="N228" t="str">
        <v>mekanik</v>
      </c>
      <c r="O228" t="str">
        <v>25.490.2103 (79)</v>
      </c>
    </row>
    <row r="229" ht="45" customHeight="1">
      <c r="A229" s="1">
        <v>221</v>
      </c>
      <c r="B229" s="1">
        <v>221</v>
      </c>
      <c r="C229" t="str">
        <v>Soğutma kapasitesi (nom):4-5,5 kW, ısıtma kapasitesi (nom):4,5-6 kW. Kaset tipi iç ünite</v>
      </c>
      <c r="D229" t="str">
        <v>adet</v>
      </c>
      <c r="E229" s="1">
        <v>29</v>
      </c>
      <c r="F229" s="2">
        <v>47030.23</v>
      </c>
      <c r="G229" s="2">
        <f>IF(F229="","",E229*F229)</f>
        <v>1363876.67</v>
      </c>
      <c r="H229" t="str">
        <v>25.490.2204</v>
      </c>
      <c r="I229" t="str">
        <v>Soğutma kapasitesi (nom):4-5,5 KW ısıtma kapasitesi (nom):4,5-6 KW</v>
      </c>
      <c r="J229" t="str">
        <v>Ad</v>
      </c>
      <c r="K229" s="2">
        <v>47030.23</v>
      </c>
      <c r="L229" s="2">
        <v>6949.71</v>
      </c>
      <c r="M229" s="1">
        <v>84</v>
      </c>
      <c r="N229" t="str">
        <v>mekanik</v>
      </c>
      <c r="O229" t="str">
        <v>25.490.2104 (79)</v>
      </c>
    </row>
    <row r="230" ht="45" customHeight="1" xml:space="preserve">
      <c r="A230" s="1">
        <v>222</v>
      </c>
      <c r="B230" s="1">
        <v>222</v>
      </c>
      <c r="C230" t="str" xml:space="preserve">
        <v xml:space="preserve">Soğutma kapasitesi (nom):5,5-7 kW, ısıtma kapasitesi (nom):6 -_x000d_
8,5 kW. Kaset tipi iç ünite</v>
      </c>
      <c r="D230" t="str">
        <v>adet</v>
      </c>
      <c r="E230" s="1">
        <v>24</v>
      </c>
      <c r="F230" s="2">
        <v>48733.78</v>
      </c>
      <c r="G230" s="2">
        <f>IF(F230="","",E230*F230)</f>
        <v>1169610.72</v>
      </c>
      <c r="H230" t="str">
        <v>25.490.2205</v>
      </c>
      <c r="I230" t="str">
        <v>Soğutma kapasitesi (nom):5,5-7 KW ısıtma kapasitesi (nom):6 -8,5 KW</v>
      </c>
      <c r="J230" t="str">
        <v>Ad</v>
      </c>
      <c r="K230" s="2">
        <v>48733.78</v>
      </c>
      <c r="L230" s="2">
        <v>6949.71</v>
      </c>
      <c r="M230" s="1">
        <v>84</v>
      </c>
      <c r="N230" t="str">
        <v>mekanik</v>
      </c>
      <c r="O230" t="str">
        <v>25.490.2503 (79)</v>
      </c>
    </row>
    <row r="231" ht="45" customHeight="1" xml:space="preserve">
      <c r="A231" s="1">
        <v>223</v>
      </c>
      <c r="B231" s="1">
        <v>223</v>
      </c>
      <c r="C231" t="str" xml:space="preserve">
        <v xml:space="preserve">Soğutma kapasitesi (nom):7 -7,5_x000d_
kW, ısıtma kapasitesi (nom):7,5- 8,5 kW. Kaset tipi iç ünite</v>
      </c>
      <c r="D231" t="str">
        <v>adet</v>
      </c>
      <c r="E231" s="1">
        <v>4</v>
      </c>
      <c r="F231" s="2">
        <v>57358.09</v>
      </c>
      <c r="G231" s="2">
        <f>IF(F231="","",E231*F231)</f>
        <v>229432.36</v>
      </c>
      <c r="H231" t="str">
        <v>25.490.2206</v>
      </c>
      <c r="I231" t="str">
        <v>Soğutma kapasitesi (nom):7 -7,5 KW ısıtma kapasitesi (nom):7,5-8,5 KW</v>
      </c>
      <c r="J231" t="str">
        <v>Ad</v>
      </c>
      <c r="K231" s="2">
        <v>57358.09</v>
      </c>
      <c r="L231" s="2">
        <v>7646.45</v>
      </c>
      <c r="M231" s="1">
        <v>83</v>
      </c>
      <c r="N231" t="str">
        <v>mekanik</v>
      </c>
      <c r="O231" t="str">
        <v>25.490.2406 (72)</v>
      </c>
    </row>
    <row r="232" ht="45" customHeight="1" xml:space="preserve">
      <c r="A232" s="1">
        <v>224</v>
      </c>
      <c r="B232" s="1">
        <v>224</v>
      </c>
      <c r="C232" t="str" xml:space="preserve">
        <v xml:space="preserve">Soğutma kapasitesi (nom):2,5-3 kW, ısıtma kapasitesi (nom):3-3,5_x000d_
kW. Kanallı tip iç ünite</v>
      </c>
      <c r="D232" t="str">
        <v>adet</v>
      </c>
      <c r="E232" s="1">
        <v>6</v>
      </c>
      <c r="F232" s="2">
        <v>38646.58</v>
      </c>
      <c r="G232" s="2">
        <f>IF(F232="","",E232*F232)</f>
        <v>231879.48</v>
      </c>
      <c r="H232" t="str">
        <v>25.490.2303</v>
      </c>
      <c r="I232" t="str">
        <v>Soğutma kapasitesi (nom):2,5-3 KW ısıtma kapasitesi (nom):3-3,5 KW</v>
      </c>
      <c r="J232" t="str">
        <v>Ad</v>
      </c>
      <c r="K232" s="2">
        <v>38646.58</v>
      </c>
      <c r="L232" s="2">
        <v>6949.71</v>
      </c>
      <c r="M232" s="1">
        <v>83</v>
      </c>
      <c r="N232" t="str">
        <v>mekanik</v>
      </c>
      <c r="O232" t="str">
        <v>25.490.2402 (80)</v>
      </c>
    </row>
    <row r="233" ht="30" customHeight="1" xml:space="preserve">
      <c r="A233" s="1">
        <v>225</v>
      </c>
      <c r="B233" s="1">
        <v>225</v>
      </c>
      <c r="C233" t="str" xml:space="preserve">
        <v xml:space="preserve">Kablolu Uzaktan Kumanda_x000d_
Cihazı</v>
      </c>
      <c r="D233" t="str">
        <v>adet</v>
      </c>
      <c r="E233" s="1">
        <v>130</v>
      </c>
      <c r="F233" s="2">
        <v>5840.48</v>
      </c>
      <c r="G233" s="2">
        <f>IF(F233="","",E233*F233)</f>
        <v>759262.4</v>
      </c>
      <c r="H233" t="str">
        <v>25.490.5101</v>
      </c>
      <c r="I233" t="str">
        <v>Kablolu Uzaktan Kumanda Cihazı İç ünitenin tüm fonksiyonlarını iç ünite ile arasındaki bir kablo bağlantısı ile kontrol edebilecek kumanda cihazının temini montajı ve çalışır halde teslimi .</v>
      </c>
      <c r="J233" t="str">
        <v>Ad</v>
      </c>
      <c r="K233" s="2">
        <v>5840.48</v>
      </c>
      <c r="L233" s="2">
        <v>446.64</v>
      </c>
      <c r="M233" s="1">
        <v>63</v>
      </c>
      <c r="N233" t="str">
        <v>mekanik</v>
      </c>
      <c r="O233" t="str">
        <v>25.490.5102 (43)</v>
      </c>
    </row>
    <row r="234" ht="30" customHeight="1">
      <c r="A234" s="1">
        <v>226</v>
      </c>
      <c r="B234" s="1">
        <v>226</v>
      </c>
      <c r="C234" t="str">
        <v>50 iç üniteye kadar, MERKEZİ KUMANDA CİHAZI</v>
      </c>
      <c r="D234" t="str">
        <v>adet</v>
      </c>
      <c r="E234" s="1">
        <v>6</v>
      </c>
      <c r="F234" s="2">
        <v>95304.44</v>
      </c>
      <c r="G234" s="2">
        <f>IF(F234="","",E234*F234)</f>
        <v>571826.64</v>
      </c>
      <c r="H234" t="str">
        <v>25.490.5201</v>
      </c>
      <c r="I234" t="str">
        <v>50 iç üniteye kadar</v>
      </c>
      <c r="J234" t="str">
        <v>Ad</v>
      </c>
      <c r="K234" s="2">
        <v>95304.44</v>
      </c>
      <c r="L234" s="2">
        <v>8932.81</v>
      </c>
      <c r="M234" s="1">
        <v>74</v>
      </c>
      <c r="N234" t="str">
        <v>mekanik</v>
      </c>
      <c r="O234" t="str">
        <v>25.312.2201 (21)</v>
      </c>
    </row>
    <row r="235" ht="30" customHeight="1">
      <c r="A235" s="1">
        <v>227</v>
      </c>
      <c r="B235" s="1">
        <v>227</v>
      </c>
      <c r="C235" t="str">
        <v>Bakır Boru Grubu 1/4 " 0,8 mm (13 mm İzo)</v>
      </c>
      <c r="D235" t="str">
        <v>metre</v>
      </c>
      <c r="E235" s="1">
        <v>318</v>
      </c>
      <c r="F235" s="2">
        <v>599.45</v>
      </c>
      <c r="G235" s="2">
        <f>IF(F235="","",E235*F235)</f>
        <v>190625.1</v>
      </c>
      <c r="H235" t="str">
        <v>25.490.8101</v>
      </c>
      <c r="I235" t="str">
        <v>Bakır Boru Grubu 1/4 " 0,8 mm (13 mm İzo)</v>
      </c>
      <c r="J235" t="str">
        <v>Ad</v>
      </c>
      <c r="K235" s="2">
        <v>599.45</v>
      </c>
      <c r="L235" s="2">
        <v>133.99</v>
      </c>
      <c r="M235" s="1">
        <v>67</v>
      </c>
      <c r="N235" t="str">
        <v>mekanik</v>
      </c>
      <c r="O235" t="str">
        <v>25.490.8103 (51)</v>
      </c>
    </row>
    <row r="236" ht="30" customHeight="1">
      <c r="A236" s="1">
        <v>228</v>
      </c>
      <c r="B236" s="1">
        <v>228</v>
      </c>
      <c r="C236" t="str">
        <v>Bakır Boru Grubu 3/8 " 0,8 mm (13 mm İzo)</v>
      </c>
      <c r="D236" t="str">
        <v>metre</v>
      </c>
      <c r="E236" s="1">
        <v>399</v>
      </c>
      <c r="F236" s="2">
        <v>705.41</v>
      </c>
      <c r="G236" s="2">
        <f>IF(F236="","",E236*F236)</f>
        <v>281458.59</v>
      </c>
      <c r="H236" t="str">
        <v>25.490.8102</v>
      </c>
      <c r="I236" t="str">
        <v>Bakır Boru Grubu 3/8 " 0,8 mm (13 mm İzo)</v>
      </c>
      <c r="J236" t="str">
        <v>Ad</v>
      </c>
      <c r="K236" s="2">
        <v>705.41</v>
      </c>
      <c r="L236" s="2">
        <v>133.99</v>
      </c>
      <c r="M236" s="1">
        <v>67</v>
      </c>
      <c r="N236" t="str">
        <v>mekanik</v>
      </c>
      <c r="O236" t="str">
        <v>25.490.8103 (39)</v>
      </c>
    </row>
    <row r="237" ht="30" customHeight="1">
      <c r="A237" s="1">
        <v>229</v>
      </c>
      <c r="B237" s="1">
        <v>229</v>
      </c>
      <c r="C237" t="str">
        <v>Bakır Boru Grubu 1/2 " 0,8 mm (13 mm İzo)</v>
      </c>
      <c r="D237" t="str">
        <v>metre</v>
      </c>
      <c r="E237" s="1">
        <v>337</v>
      </c>
      <c r="F237" s="2">
        <v>894.55</v>
      </c>
      <c r="G237" s="2">
        <f>IF(F237="","",E237*F237)</f>
        <v>301463.35</v>
      </c>
      <c r="H237" t="str">
        <v>25.490.8103</v>
      </c>
      <c r="I237" t="str">
        <v>Bakır Boru Grubu 1/2 " 0,8 mm (13 mm İzo)</v>
      </c>
      <c r="J237" t="str">
        <v>Ad</v>
      </c>
      <c r="K237" s="2">
        <v>894.55</v>
      </c>
      <c r="L237" s="2">
        <v>133.99</v>
      </c>
      <c r="M237" s="1">
        <v>67</v>
      </c>
      <c r="N237" t="str">
        <v>mekanik</v>
      </c>
      <c r="O237" t="str">
        <v>25.490.8101 (51)</v>
      </c>
    </row>
    <row r="238" ht="30" customHeight="1">
      <c r="A238" s="1">
        <v>230</v>
      </c>
      <c r="B238" s="1">
        <v>230</v>
      </c>
      <c r="C238" t="str">
        <v>Bakır Boru Grubu 5/8 " 1,0 mm (13 mm İzo)</v>
      </c>
      <c r="D238" t="str">
        <v>metre</v>
      </c>
      <c r="E238" s="1">
        <v>337</v>
      </c>
      <c r="F238" s="2">
        <v>1047.48</v>
      </c>
      <c r="G238" s="2">
        <f>IF(F238="","",E238*F238)</f>
        <v>353000.76</v>
      </c>
      <c r="H238" t="str">
        <v>25.490.8104</v>
      </c>
      <c r="I238" t="str">
        <v>Bakır Boru Grubu 5/8 " 1,0 mm (13 mm İzo)</v>
      </c>
      <c r="J238" t="str">
        <v>Ad</v>
      </c>
      <c r="K238" s="2">
        <v>1047.48</v>
      </c>
      <c r="L238" s="2">
        <v>133.99</v>
      </c>
      <c r="M238" s="1">
        <v>67</v>
      </c>
      <c r="N238" t="str">
        <v>mekanik</v>
      </c>
      <c r="O238" t="str">
        <v>25.490.8106 (51)</v>
      </c>
    </row>
    <row r="239" ht="30" customHeight="1">
      <c r="A239" s="1">
        <v>231</v>
      </c>
      <c r="B239" s="1">
        <v>231</v>
      </c>
      <c r="C239" t="str">
        <v>Bakır Boru Grubu 3/4 " 1,0 mm (13 mm İzo)</v>
      </c>
      <c r="D239" t="str">
        <v>metre</v>
      </c>
      <c r="E239" s="1">
        <v>44</v>
      </c>
      <c r="F239" s="2">
        <v>1337.21</v>
      </c>
      <c r="G239" s="2">
        <f>IF(F239="","",E239*F239)</f>
        <v>58837.24</v>
      </c>
      <c r="H239" t="str">
        <v>25.490.8105</v>
      </c>
      <c r="I239" t="str">
        <v>Bakır Boru Grubu 3/4 " 1,0 mm (13 mm İzo)</v>
      </c>
      <c r="J239" t="str">
        <v>Ad</v>
      </c>
      <c r="K239" s="2">
        <v>1337.21</v>
      </c>
      <c r="L239" s="2">
        <v>133.99</v>
      </c>
      <c r="M239" s="1">
        <v>67</v>
      </c>
      <c r="N239" t="str">
        <v>mekanik</v>
      </c>
      <c r="O239" t="str">
        <v>25.490.8104 (39)</v>
      </c>
    </row>
    <row r="240" ht="30" customHeight="1">
      <c r="A240" s="1">
        <v>232</v>
      </c>
      <c r="B240" s="1">
        <v>232</v>
      </c>
      <c r="C240" t="str">
        <v>Bakır Boru Grubu 7/8 " 1,0 mm (13 mm İzo)</v>
      </c>
      <c r="D240" t="str">
        <v>metre</v>
      </c>
      <c r="E240" s="1">
        <v>141</v>
      </c>
      <c r="F240" s="2">
        <v>1775.3</v>
      </c>
      <c r="G240" s="2">
        <f>IF(F240="","",E240*F240)</f>
        <v>250317.3</v>
      </c>
      <c r="H240" t="str">
        <v>25.490.8106</v>
      </c>
      <c r="I240" t="str">
        <v>Bakır Boru Grubu 7/8 " 1,0 mm (13 mm İzo)</v>
      </c>
      <c r="J240" t="str">
        <v>Ad</v>
      </c>
      <c r="K240" s="2">
        <v>1775.3</v>
      </c>
      <c r="L240" s="2">
        <v>223.33</v>
      </c>
      <c r="M240" s="1">
        <v>68</v>
      </c>
      <c r="N240" t="str">
        <v>mekanik</v>
      </c>
      <c r="O240" t="str">
        <v>25.490.8104 (50)</v>
      </c>
    </row>
    <row r="241" ht="30" customHeight="1">
      <c r="A241" s="1">
        <v>233</v>
      </c>
      <c r="B241" s="1">
        <v>233</v>
      </c>
      <c r="C241" t="str">
        <v>Bakır Boru Grubu 1 1/8 " 1,2 mm (19 mm İzo)</v>
      </c>
      <c r="D241" t="str">
        <v>metre</v>
      </c>
      <c r="E241" s="1">
        <v>178</v>
      </c>
      <c r="F241" s="2">
        <v>2387.38</v>
      </c>
      <c r="G241" s="2">
        <f>IF(F241="","",E241*F241)</f>
        <v>424953.64</v>
      </c>
      <c r="H241" t="str">
        <v>25.490.8108</v>
      </c>
      <c r="I241" t="str">
        <v>Bakır Boru Grubu 1 1/8 " 1,2 mm (19 mm İzo)</v>
      </c>
      <c r="J241" t="str">
        <v>Ad</v>
      </c>
      <c r="K241" s="2">
        <v>2387.38</v>
      </c>
      <c r="L241" s="2">
        <v>267.99</v>
      </c>
      <c r="M241" s="1">
        <v>67</v>
      </c>
      <c r="N241" t="str">
        <v>mekanik</v>
      </c>
      <c r="O241" t="str">
        <v>25.490.8109 (43)</v>
      </c>
    </row>
    <row r="242" ht="30" customHeight="1">
      <c r="A242" s="1">
        <v>234</v>
      </c>
      <c r="B242" s="1">
        <v>234</v>
      </c>
      <c r="C242" t="str">
        <v>Bakır Boru Grubu 1 3/8 " 1,5 mm (19 mm İzo)</v>
      </c>
      <c r="D242" t="str">
        <v>metre</v>
      </c>
      <c r="E242" s="1">
        <v>58</v>
      </c>
      <c r="F242" s="2">
        <v>2934.65</v>
      </c>
      <c r="G242" s="2">
        <f>IF(F242="","",E242*F242)</f>
        <v>170209.7</v>
      </c>
      <c r="H242" t="str">
        <v>25.490.8109</v>
      </c>
      <c r="I242" t="str">
        <v>Bakır Boru Grubu 1 3/8 " 1,5 mm (19 mm İzo)</v>
      </c>
      <c r="J242" t="str">
        <v>Ad</v>
      </c>
      <c r="K242" s="2">
        <v>2934.65</v>
      </c>
      <c r="L242" s="2">
        <v>267.99</v>
      </c>
      <c r="M242" s="1">
        <v>67</v>
      </c>
      <c r="N242" t="str">
        <v>mekanik</v>
      </c>
      <c r="O242" t="str">
        <v>25.490.8110 (53)</v>
      </c>
    </row>
    <row r="243" ht="30" customHeight="1">
      <c r="A243" s="1">
        <v>235</v>
      </c>
      <c r="B243" s="1">
        <v>235</v>
      </c>
      <c r="C243" t="str">
        <v>Bakır Boru Grubu 1 5/8 " 1,5 mm (19 mm İzo)</v>
      </c>
      <c r="D243" t="str">
        <v>metre</v>
      </c>
      <c r="E243" s="1">
        <v>43</v>
      </c>
      <c r="F243" s="2">
        <v>3656.33</v>
      </c>
      <c r="G243" s="2">
        <f>IF(F243="","",E243*F243)</f>
        <v>157222.19</v>
      </c>
      <c r="H243" t="str">
        <v>25.490.8110</v>
      </c>
      <c r="I243" t="str">
        <v>Bakır Boru Grubu 1 5/8 " 1,5 mm (19 mm İzo)</v>
      </c>
      <c r="J243" t="str">
        <v>Ad</v>
      </c>
      <c r="K243" s="2">
        <v>3656.33</v>
      </c>
      <c r="L243" s="2">
        <v>267.99</v>
      </c>
      <c r="M243" s="1">
        <v>67</v>
      </c>
      <c r="N243" t="str">
        <v>mekanik</v>
      </c>
      <c r="O243" t="str">
        <v>25.490.8109 (53)</v>
      </c>
    </row>
    <row r="244" ht="30" customHeight="1">
      <c r="A244" s="1">
        <v>236</v>
      </c>
      <c r="B244" s="1">
        <v>236</v>
      </c>
      <c r="C244" t="str">
        <v>25 kW'a kadar, Bağlantı (joint) elemanları</v>
      </c>
      <c r="D244" t="str">
        <v>takım</v>
      </c>
      <c r="E244" s="1">
        <v>85</v>
      </c>
      <c r="F244" s="2">
        <v>4138.09</v>
      </c>
      <c r="G244" s="2">
        <f>IF(F244="","",E244*F244)</f>
        <v>351737.65</v>
      </c>
      <c r="H244" t="str">
        <v>25.490.8201</v>
      </c>
      <c r="I244" t="str">
        <v>25 Kw.'a kadar</v>
      </c>
      <c r="J244" t="str">
        <v>Ad</v>
      </c>
      <c r="K244" s="2">
        <v>4138.09</v>
      </c>
      <c r="L244" s="2">
        <v>893.29</v>
      </c>
      <c r="M244" s="1">
        <v>62</v>
      </c>
      <c r="N244" t="str">
        <v>mekanik</v>
      </c>
      <c r="O244" t="str">
        <v>25.490.8202 (44)</v>
      </c>
    </row>
    <row r="245" ht="30" customHeight="1">
      <c r="A245" s="1">
        <v>237</v>
      </c>
      <c r="B245" s="1">
        <v>237</v>
      </c>
      <c r="C245" t="str">
        <v>25-50 kW arası, Bağlantı (joint) elemanları</v>
      </c>
      <c r="D245" t="str">
        <v>takım</v>
      </c>
      <c r="E245" s="1">
        <v>28</v>
      </c>
      <c r="F245" s="2">
        <v>5185.71</v>
      </c>
      <c r="G245" s="2">
        <f>IF(F245="","",E245*F245)</f>
        <v>145199.88</v>
      </c>
      <c r="H245" t="str">
        <v>25.490.8202</v>
      </c>
      <c r="I245" t="str">
        <v>25-50 Kw.arası</v>
      </c>
      <c r="J245" t="str">
        <v>Ad</v>
      </c>
      <c r="K245" s="2">
        <v>5185.71</v>
      </c>
      <c r="L245" s="2">
        <v>893.29</v>
      </c>
      <c r="M245" s="1">
        <v>65</v>
      </c>
      <c r="N245" t="str">
        <v>mekanik</v>
      </c>
      <c r="O245" t="str">
        <v>25.490.8203 (38)</v>
      </c>
    </row>
    <row r="246" ht="30" customHeight="1">
      <c r="A246" s="1">
        <v>238</v>
      </c>
      <c r="B246" s="1">
        <v>238</v>
      </c>
      <c r="C246" t="str">
        <v>50-100 kW arası, Bağlantı (joint) elemanları</v>
      </c>
      <c r="D246" t="str">
        <v>takım</v>
      </c>
      <c r="E246" s="1">
        <v>13</v>
      </c>
      <c r="F246" s="2">
        <v>6993.85</v>
      </c>
      <c r="G246" s="2">
        <f>IF(F246="","",E246*F246)</f>
        <v>90920.05</v>
      </c>
      <c r="H246" t="str">
        <v>25.490.8203</v>
      </c>
      <c r="I246" t="str">
        <v>50-100 Kw. arası</v>
      </c>
      <c r="J246" t="str">
        <v>Ad</v>
      </c>
      <c r="K246" s="2">
        <v>6993.85</v>
      </c>
      <c r="L246" s="2">
        <v>1339.93</v>
      </c>
      <c r="M246" s="1">
        <v>65</v>
      </c>
      <c r="N246" t="str">
        <v>mekanik</v>
      </c>
      <c r="O246" t="str">
        <v>25.490.8202 (38)</v>
      </c>
    </row>
    <row r="247" ht="30" customHeight="1">
      <c r="A247" s="1">
        <v>239</v>
      </c>
      <c r="B247" s="1">
        <v>239</v>
      </c>
      <c r="C247" t="str">
        <v>100 kW üzeri, Bağlantı (joint) elemanları</v>
      </c>
      <c r="D247" t="str">
        <v>takım</v>
      </c>
      <c r="E247" s="1">
        <v>8</v>
      </c>
      <c r="F247" s="2">
        <v>9952.9</v>
      </c>
      <c r="G247" s="2">
        <f>IF(F247="","",E247*F247)</f>
        <v>79623.2</v>
      </c>
      <c r="H247" t="str">
        <v>25.490.8204</v>
      </c>
      <c r="I247" t="str">
        <v>100 Kw üzeri</v>
      </c>
      <c r="J247" t="str">
        <v>Ad</v>
      </c>
      <c r="K247" s="2">
        <v>9952.9</v>
      </c>
      <c r="L247" s="2">
        <v>1786.56</v>
      </c>
      <c r="M247" s="1">
        <v>63</v>
      </c>
      <c r="N247" t="str">
        <v>mekanik</v>
      </c>
      <c r="O247" t="str">
        <v>25.490.8203 (49)</v>
      </c>
    </row>
    <row r="248" ht="60" customHeight="1" xml:space="preserve">
      <c r="A248" s="1">
        <v>240</v>
      </c>
      <c r="B248" s="1">
        <v>240</v>
      </c>
      <c r="C248" t="str" xml:space="preserve">
        <v xml:space="preserve">Hortum Çapı DN 25 Hortum Uzunluğu 30 m, Tüplü Model Yangın Dolapları, TS. EN 671-1_x000d_
NORMLARINDA</v>
      </c>
      <c r="D248" t="str">
        <v>adet</v>
      </c>
      <c r="E248" s="1">
        <v>15</v>
      </c>
      <c r="F248" s="2">
        <v>11680.89</v>
      </c>
      <c r="G248" s="2">
        <f>IF(F248="","",E248*F248)</f>
        <v>175213.35</v>
      </c>
      <c r="H248" t="str">
        <v>25.700.2102</v>
      </c>
      <c r="I248" t="str">
        <v>Tüplü Model</v>
      </c>
      <c r="J248" t="str">
        <v>Ad</v>
      </c>
      <c r="K248" s="2">
        <v>11680.89</v>
      </c>
      <c r="L248" s="2">
        <v>3003.1</v>
      </c>
      <c r="M248" s="1">
        <v>50</v>
      </c>
      <c r="N248" t="str">
        <v>mekanik</v>
      </c>
      <c r="O248" t="str">
        <v>25.700.2101 (39)</v>
      </c>
    </row>
    <row r="249" ht="75" customHeight="1" xml:space="preserve">
      <c r="A249" s="1">
        <v>241</v>
      </c>
      <c r="B249" s="1">
        <v>241</v>
      </c>
      <c r="C249" t="str" xml:space="preserve">
        <v xml:space="preserve">Dik DN 15, Standart Uygulamalar için Otomatik Yangın Sprinkleri, Açılma sıcaklığı 57 °C, 68 °C, 79 °C, 93_x000d_
°C, 100 °C veya 141 °C.</v>
      </c>
      <c r="D249" t="str">
        <v>adet</v>
      </c>
      <c r="E249" s="1">
        <v>256</v>
      </c>
      <c r="F249" s="2">
        <v>378.9</v>
      </c>
      <c r="G249" s="2">
        <f>IF(F249="","",E249*F249)</f>
        <v>96998.4</v>
      </c>
      <c r="H249" t="str">
        <v>25.705.1101</v>
      </c>
      <c r="I249" t="str">
        <v>Dik DN 15</v>
      </c>
      <c r="J249" t="str">
        <v>Ad</v>
      </c>
      <c r="K249" s="2">
        <v>378.9</v>
      </c>
      <c r="L249" s="2">
        <v>107.75</v>
      </c>
      <c r="M249" s="1">
        <v>38</v>
      </c>
      <c r="N249" t="str">
        <v>mekanik</v>
      </c>
      <c r="O249" t="str">
        <v>25.705.1103 (32)</v>
      </c>
    </row>
    <row r="250" ht="30" customHeight="1" xml:space="preserve">
      <c r="A250" s="1">
        <v>242</v>
      </c>
      <c r="B250" s="1">
        <v>242</v>
      </c>
      <c r="C250" t="str" xml:space="preserve">
        <v xml:space="preserve">Sarkık DN 15, Standart_x000d_
Uygulamalar için Otomatik</v>
      </c>
      <c r="D250" t="str">
        <v>adet</v>
      </c>
      <c r="E250" s="1">
        <v>148</v>
      </c>
      <c r="F250" s="2">
        <v>422</v>
      </c>
      <c r="G250" s="2">
        <f>IF(F250="","",E250*F250)</f>
        <v>62456</v>
      </c>
      <c r="H250" t="str">
        <v>25.705.1103</v>
      </c>
      <c r="I250" t="str">
        <v>Sarkık DN 15</v>
      </c>
      <c r="J250" t="str">
        <v>Ad</v>
      </c>
      <c r="K250" s="2">
        <v>422</v>
      </c>
      <c r="L250" s="2">
        <v>107.75</v>
      </c>
      <c r="M250" s="1">
        <v>80</v>
      </c>
      <c r="N250" t="str">
        <v>mekanik</v>
      </c>
      <c r="O250" t="str">
        <v>25.705.1101 (63)</v>
      </c>
    </row>
    <row r="251" ht="45" customHeight="1" xml:space="preserve">
      <c r="C251" t="str" xml:space="preserve">
        <v xml:space="preserve">Yangın Sprinkleri, Açılma sıcaklığı 57 °C, 68 °C, 79 °C, 93_x000d_
°C, 100 °C veya 141 °C.</v>
      </c>
    </row>
    <row r="252" ht="45" customHeight="1" xml:space="preserve">
      <c r="A252" s="1">
        <v>243</v>
      </c>
      <c r="B252" s="1">
        <v>243</v>
      </c>
      <c r="C252" t="str" xml:space="preserve">
        <v xml:space="preserve">Sabit Tek Parça Rozet, Rozet_x000d_
İlavesi, Açık Yangın Su_x000d_
Püskürtme Memesi (Nozul)</v>
      </c>
      <c r="D252" t="str">
        <v>adet</v>
      </c>
      <c r="E252" s="1">
        <v>148</v>
      </c>
      <c r="F252" s="2">
        <v>81</v>
      </c>
      <c r="G252" s="2">
        <f>IF(F252="","",E252*F252)</f>
        <v>11988</v>
      </c>
      <c r="H252" t="str">
        <v>25.705.3201</v>
      </c>
      <c r="I252" t="str">
        <v>Sabit Tek Parça Rozet</v>
      </c>
      <c r="J252" t="str">
        <v/>
      </c>
      <c r="K252" s="2">
        <v>81</v>
      </c>
      <c r="L252" s="2">
        <v>43.1</v>
      </c>
      <c r="M252" s="1">
        <v>76</v>
      </c>
      <c r="N252" t="str">
        <v>mekanik</v>
      </c>
      <c r="O252" t="str">
        <v>25.705.2102 (58)</v>
      </c>
    </row>
    <row r="253" ht="30" customHeight="1" xml:space="preserve">
      <c r="A253" s="1">
        <v>244</v>
      </c>
      <c r="B253" s="1">
        <v>244</v>
      </c>
      <c r="C253" t="str" xml:space="preserve">
        <v xml:space="preserve">70 cm uzunluğunda sprinker_x000d_
hortum seti</v>
      </c>
      <c r="D253" t="str">
        <v>adet</v>
      </c>
      <c r="E253" s="1">
        <v>148</v>
      </c>
      <c r="F253" s="2">
        <v>914.36</v>
      </c>
      <c r="G253" s="2">
        <f>IF(F253="","",E253*F253)</f>
        <v>135325.28</v>
      </c>
      <c r="H253" t="str">
        <v>25.705.5102</v>
      </c>
      <c r="I253" t="str">
        <v>70 cm uzunluğunda sprinker hortum seti</v>
      </c>
      <c r="J253" t="str">
        <v/>
      </c>
      <c r="K253" s="2">
        <v>914.36</v>
      </c>
      <c r="L253" s="2">
        <v>258.6</v>
      </c>
      <c r="M253" s="1">
        <v>92</v>
      </c>
      <c r="N253" t="str">
        <v>mekanik</v>
      </c>
      <c r="O253" t="str">
        <v>25.485.7109 (43)</v>
      </c>
    </row>
    <row r="254" ht="15" customHeight="1">
      <c r="A254" s="1">
        <v>245</v>
      </c>
      <c r="B254" s="1">
        <v>245</v>
      </c>
      <c r="C254" t="str">
        <v>İtfaiye Bağlantı Ağzı</v>
      </c>
      <c r="D254" t="str">
        <v>adet</v>
      </c>
      <c r="E254" s="1">
        <v>1</v>
      </c>
      <c r="F254" s="2">
        <v>633.39</v>
      </c>
      <c r="G254" s="2">
        <f>IF(F254="","",E254*F254)</f>
        <v>633.39</v>
      </c>
      <c r="H254" t="str">
        <v>25.712.1102</v>
      </c>
      <c r="I254" t="str">
        <v>Arka Plakası İlavesi:</v>
      </c>
      <c r="J254" t="str">
        <v>Ad</v>
      </c>
      <c r="K254" s="2">
        <v>633.39</v>
      </c>
      <c r="L254" s="2">
        <v>86.2</v>
      </c>
      <c r="M254" s="1">
        <v>74</v>
      </c>
      <c r="N254" t="str">
        <v>mekanik</v>
      </c>
      <c r="O254" t="str">
        <v>25.712.1101 (72)</v>
      </c>
    </row>
    <row r="255" ht="45" customHeight="1" xml:space="preserve">
      <c r="A255" s="1">
        <v>246</v>
      </c>
      <c r="B255" s="1">
        <v>246</v>
      </c>
      <c r="C255" t="str" xml:space="preserve">
        <v xml:space="preserve">Damlatma Vanası İlavesi, İtfaiye Bağlantı Ağzı İçin Ödenecek_x000d_
Farklar</v>
      </c>
      <c r="D255" t="str">
        <v>adet</v>
      </c>
      <c r="E255" s="1">
        <v>1</v>
      </c>
      <c r="F255" s="2">
        <v>678.53</v>
      </c>
      <c r="G255" s="2">
        <f>IF(F255="","",E255*F255)</f>
        <v>678.53</v>
      </c>
      <c r="H255" t="str">
        <v>25.712.1101</v>
      </c>
      <c r="I255" t="str">
        <v>Damlatma Vanası İlavesi:</v>
      </c>
      <c r="J255" t="str">
        <v>Ad</v>
      </c>
      <c r="K255" s="2">
        <v>678.53</v>
      </c>
      <c r="L255" s="2">
        <v>215.5</v>
      </c>
      <c r="M255" s="1">
        <v>93</v>
      </c>
      <c r="N255" t="str">
        <v>mekanik</v>
      </c>
      <c r="O255" t="str">
        <v>25.712.1102 (67)</v>
      </c>
    </row>
    <row r="256" ht="45" customHeight="1" xml:space="preserve">
      <c r="A256" s="1">
        <v>247</v>
      </c>
      <c r="B256" s="1">
        <v>247</v>
      </c>
      <c r="C256" t="str" xml:space="preserve">
        <v xml:space="preserve">Arka Plakası İlavesi, İtfaiye Bağlantı Ağzı İçin Ödenecek_x000d_
Farklar</v>
      </c>
      <c r="D256" t="str">
        <v>adet</v>
      </c>
      <c r="E256" s="1">
        <v>1</v>
      </c>
      <c r="F256" s="2">
        <v>633.39</v>
      </c>
      <c r="G256" s="2">
        <f>IF(F256="","",E256*F256)</f>
        <v>633.39</v>
      </c>
      <c r="H256" t="str">
        <v>25.712.1102</v>
      </c>
      <c r="I256" t="str">
        <v>Arka Plakası İlavesi:</v>
      </c>
      <c r="J256" t="str">
        <v>Ad</v>
      </c>
      <c r="K256" s="2">
        <v>633.39</v>
      </c>
      <c r="L256" s="2">
        <v>86.2</v>
      </c>
      <c r="M256" s="1">
        <v>93</v>
      </c>
      <c r="N256" t="str">
        <v>mekanik</v>
      </c>
      <c r="O256" t="str">
        <v>25.712.1101 (67)</v>
      </c>
    </row>
    <row r="257" ht="45" customHeight="1" xml:space="preserve">
      <c r="A257" s="1">
        <v>248</v>
      </c>
      <c r="B257" s="1">
        <v>248</v>
      </c>
      <c r="C257" t="str" xml:space="preserve">
        <v xml:space="preserve">İtfaiye Bilgi Levhası İlavesi, İtfaiye Bağlantı Ağzı İçin_x000d_
Ödenecek Farklar</v>
      </c>
      <c r="D257" t="str">
        <v>adet</v>
      </c>
      <c r="E257" s="1">
        <v>1</v>
      </c>
      <c r="F257" s="2">
        <v>593.41</v>
      </c>
      <c r="G257" s="2">
        <f>IF(F257="","",E257*F257)</f>
        <v>593.41</v>
      </c>
      <c r="H257" t="str">
        <v>25.712.1103</v>
      </c>
      <c r="I257" t="str">
        <v>İtfaiye Bilgi Levhası İlavesi:</v>
      </c>
      <c r="J257" t="str">
        <v>Ad</v>
      </c>
      <c r="K257" s="2">
        <v>593.41</v>
      </c>
      <c r="L257" s="2">
        <v>86.2</v>
      </c>
      <c r="M257" s="1">
        <v>90</v>
      </c>
      <c r="N257" t="str">
        <v>mekanik</v>
      </c>
      <c r="O257" t="str">
        <v>25.712.1102 (65)</v>
      </c>
    </row>
    <row r="258" ht="45" customHeight="1" xml:space="preserve">
      <c r="A258" s="1">
        <v>249</v>
      </c>
      <c r="B258" s="1">
        <v>249</v>
      </c>
      <c r="C258" t="str" xml:space="preserve">
        <v xml:space="preserve">PN 16, Basınç Sınıfı İlavesi, İtfaiye Bağlantı Ağzı İçin_x000d_
Ödenecek Farklar</v>
      </c>
      <c r="D258" t="str">
        <v>adet</v>
      </c>
      <c r="E258" s="1">
        <v>1</v>
      </c>
      <c r="F258" s="2">
        <v>1129.08</v>
      </c>
      <c r="G258" s="2">
        <f>IF(F258="","",E258*F258)</f>
        <v>1129.08</v>
      </c>
      <c r="H258" t="str">
        <v>25.712.1104</v>
      </c>
      <c r="I258" t="str">
        <v>PN 16 Basınç Sınıfı İlavesi:</v>
      </c>
      <c r="J258" t="str">
        <v>Ad</v>
      </c>
      <c r="K258" s="2">
        <v>1129.08</v>
      </c>
      <c r="L258" s="2">
        <v>0</v>
      </c>
      <c r="M258" s="1">
        <v>87</v>
      </c>
      <c r="N258" t="str">
        <v>mekanik</v>
      </c>
      <c r="O258" t="str">
        <v>25.712.1102 (65)</v>
      </c>
    </row>
    <row r="259" ht="15" customHeight="1">
      <c r="A259" s="1">
        <v>250</v>
      </c>
      <c r="B259" s="1">
        <v>250</v>
      </c>
      <c r="C259" t="str">
        <v>DN 50, İtfaiye Kat Bağlantı Vanası</v>
      </c>
      <c r="D259" t="str">
        <v>adet</v>
      </c>
      <c r="E259" s="1">
        <v>10</v>
      </c>
      <c r="F259" s="2">
        <v>2990.86</v>
      </c>
      <c r="G259" s="2">
        <f>IF(F259="","",E259*F259)</f>
        <v>29908.6</v>
      </c>
      <c r="H259" t="str">
        <v>25.712.2001</v>
      </c>
      <c r="I259" t="str">
        <v>DN 50</v>
      </c>
      <c r="J259" t="str">
        <v>Ad</v>
      </c>
      <c r="K259" s="2">
        <v>2990.86</v>
      </c>
      <c r="L259" s="2">
        <v>563.09</v>
      </c>
      <c r="M259" s="1">
        <v>90</v>
      </c>
      <c r="N259" t="str">
        <v>mekanik</v>
      </c>
      <c r="O259" t="str">
        <v>25.715.1104 (34)</v>
      </c>
    </row>
    <row r="260" ht="30" customHeight="1">
      <c r="A260" s="1">
        <v>251</v>
      </c>
      <c r="B260" s="1">
        <v>251</v>
      </c>
      <c r="C260" t="str">
        <v>DN 32, Test ve drenaj vanası, dişli, pirinç</v>
      </c>
      <c r="D260" t="str">
        <v>adet</v>
      </c>
      <c r="E260" s="1">
        <v>5</v>
      </c>
      <c r="F260" s="2">
        <v>6092.93</v>
      </c>
      <c r="G260" s="2">
        <f>IF(F260="","",E260*F260)</f>
        <v>30464.65</v>
      </c>
      <c r="H260" t="str">
        <v>25.715.1102</v>
      </c>
      <c r="I260" t="str">
        <v>DN 32</v>
      </c>
      <c r="J260" t="str">
        <v>Ad</v>
      </c>
      <c r="K260" s="2">
        <v>6092.93</v>
      </c>
      <c r="L260" s="2">
        <v>1501.55</v>
      </c>
      <c r="M260" s="1">
        <v>92</v>
      </c>
      <c r="N260" t="str">
        <v>mekanik</v>
      </c>
      <c r="O260" t="str">
        <v>25.567.1104 (36)</v>
      </c>
    </row>
    <row r="261" ht="30" customHeight="1" xml:space="preserve">
      <c r="A261" s="1">
        <v>252</v>
      </c>
      <c r="B261" s="1">
        <v>252</v>
      </c>
      <c r="C261" t="str" xml:space="preserve">
        <v xml:space="preserve">DN 150, Islak Alarm Vana_x000d_
İstasyonu</v>
      </c>
      <c r="D261" t="str">
        <v>adet</v>
      </c>
      <c r="E261" s="1">
        <v>2</v>
      </c>
      <c r="F261" s="2">
        <v>75147.53</v>
      </c>
      <c r="G261" s="2">
        <f>IF(F261="","",E261*F261)</f>
        <v>150295.06</v>
      </c>
      <c r="H261" t="str">
        <v>25.715.1203</v>
      </c>
      <c r="I261" t="str">
        <v>DN 150</v>
      </c>
      <c r="J261" t="str">
        <v>Ad</v>
      </c>
      <c r="K261" s="2">
        <v>75147.53</v>
      </c>
      <c r="L261" s="2">
        <v>8932.81</v>
      </c>
      <c r="M261" s="1">
        <v>80</v>
      </c>
      <c r="N261" t="str">
        <v>mekanik</v>
      </c>
      <c r="O261" t="str">
        <v>25.715.1303 (65)</v>
      </c>
    </row>
    <row r="262" ht="45" customHeight="1" xml:space="preserve">
      <c r="A262" s="1">
        <v>253</v>
      </c>
      <c r="B262" s="1">
        <v>253</v>
      </c>
      <c r="C262" t="str" xml:space="preserve">
        <v xml:space="preserve">Su Motorlu Gong İlavesi, Vana İstasyonlarına İlaveler İçin_x000d_
Ödenecek Farklar</v>
      </c>
      <c r="D262" t="str">
        <v>adet</v>
      </c>
      <c r="E262" s="1">
        <v>2</v>
      </c>
      <c r="F262" s="2">
        <v>10983.08</v>
      </c>
      <c r="G262" s="2">
        <f>IF(F262="","",E262*F262)</f>
        <v>21966.16</v>
      </c>
      <c r="H262" t="str">
        <v>25.715.2001</v>
      </c>
      <c r="I262" t="str">
        <v>Su Motorlu Gong İlavesi:</v>
      </c>
      <c r="J262" t="str">
        <v>Ad</v>
      </c>
      <c r="K262" s="2">
        <v>10983.08</v>
      </c>
      <c r="L262" s="2">
        <v>3003.1</v>
      </c>
      <c r="M262" s="1">
        <v>94</v>
      </c>
      <c r="N262" t="str">
        <v>mekanik</v>
      </c>
      <c r="O262" t="str">
        <v>25.715.2003 (64)</v>
      </c>
    </row>
    <row r="263" ht="45" customHeight="1" xml:space="preserve">
      <c r="A263" s="1">
        <v>254</v>
      </c>
      <c r="B263" s="1">
        <v>254</v>
      </c>
      <c r="C263" t="str" xml:space="preserve">
        <v xml:space="preserve">Geciktirme Hücresi İlavesi, Vana İstasyonlarına İlaveler İçin_x000d_
Ödenecek Farklar</v>
      </c>
      <c r="D263" t="str">
        <v>adet</v>
      </c>
      <c r="E263" s="1">
        <v>2</v>
      </c>
      <c r="F263" s="2">
        <v>7155.2</v>
      </c>
      <c r="G263" s="2">
        <f>IF(F263="","",E263*F263)</f>
        <v>14310.4</v>
      </c>
      <c r="H263" t="str">
        <v>25.715.2002</v>
      </c>
      <c r="I263" t="str">
        <v>Geciktirme Hücresi İlavesi:</v>
      </c>
      <c r="J263" t="str">
        <v>Ad</v>
      </c>
      <c r="K263" s="2">
        <v>7155.2</v>
      </c>
      <c r="L263" s="2">
        <v>1876.94</v>
      </c>
      <c r="M263" s="1">
        <v>93</v>
      </c>
      <c r="N263" t="str">
        <v>mekanik</v>
      </c>
      <c r="O263" t="str">
        <v>25.715.2003 (64)</v>
      </c>
    </row>
    <row r="264" ht="45" customHeight="1" xml:space="preserve">
      <c r="A264" s="1">
        <v>255</v>
      </c>
      <c r="B264" s="1">
        <v>255</v>
      </c>
      <c r="C264" t="str" xml:space="preserve">
        <v xml:space="preserve">Alarm Basınç Anahtarı İlavesi, Vana İstasyonlarına İlaveler İçin_x000d_
Ödenecek Farklar</v>
      </c>
      <c r="D264" t="str">
        <v>adet</v>
      </c>
      <c r="E264" s="1">
        <v>2</v>
      </c>
      <c r="F264" s="2">
        <v>5419.93</v>
      </c>
      <c r="G264" s="2">
        <f>IF(F264="","",E264*F264)</f>
        <v>10839.86</v>
      </c>
      <c r="H264" t="str">
        <v>25.715.2003</v>
      </c>
      <c r="I264" t="str">
        <v>Alarm Basınç Anahtarı İlavesi:</v>
      </c>
      <c r="J264" t="str">
        <v>Ad</v>
      </c>
      <c r="K264" s="2">
        <v>5419.93</v>
      </c>
      <c r="L264" s="2">
        <v>1501.55</v>
      </c>
      <c r="M264" s="1">
        <v>94</v>
      </c>
      <c r="N264" t="str">
        <v>mekanik</v>
      </c>
      <c r="O264" t="str">
        <v>25.715.2001 (64)</v>
      </c>
    </row>
    <row r="265" ht="30" customHeight="1">
      <c r="A265" s="1">
        <v>256</v>
      </c>
      <c r="B265" s="1">
        <v>256</v>
      </c>
      <c r="C265" t="str">
        <v>DN 50, İzlenebilir Flanş Arası Sıkıştırmalı Kelebek Vana</v>
      </c>
      <c r="D265" t="str">
        <v>adet</v>
      </c>
      <c r="E265" s="1">
        <v>2</v>
      </c>
      <c r="F265" s="2">
        <v>15646.58</v>
      </c>
      <c r="G265" s="2">
        <f>IF(F265="","",E265*F265)</f>
        <v>31293.16</v>
      </c>
      <c r="H265" t="str">
        <v>25.715.3102</v>
      </c>
      <c r="I265" t="str">
        <v>DN 50</v>
      </c>
      <c r="J265" t="str">
        <v>Ad</v>
      </c>
      <c r="K265" s="2">
        <v>15646.58</v>
      </c>
      <c r="L265" s="2">
        <v>4504.65</v>
      </c>
      <c r="M265" s="1">
        <v>93</v>
      </c>
      <c r="N265" t="str">
        <v>mekanik</v>
      </c>
      <c r="O265" t="str">
        <v>25.715.3202 (47)</v>
      </c>
    </row>
    <row r="266" ht="30" customHeight="1">
      <c r="A266" s="1">
        <v>257</v>
      </c>
      <c r="B266" s="1">
        <v>257</v>
      </c>
      <c r="C266" t="str">
        <v>DN 100, İzlenebilir Flanş Arası Sıkıştırmalı Kelebek Vana</v>
      </c>
      <c r="D266" t="str">
        <v>adet</v>
      </c>
      <c r="E266" s="1">
        <v>6</v>
      </c>
      <c r="F266" s="2">
        <v>18209.06</v>
      </c>
      <c r="G266" s="2">
        <f>IF(F266="","",E266*F266)</f>
        <v>109254.36</v>
      </c>
      <c r="H266" t="str">
        <v>25.715.3105</v>
      </c>
      <c r="I266" t="str">
        <v>DN 100</v>
      </c>
      <c r="J266" t="str">
        <v>Ad</v>
      </c>
      <c r="K266" s="2">
        <v>18209.06</v>
      </c>
      <c r="L266" s="2">
        <v>6006.2</v>
      </c>
      <c r="M266" s="1">
        <v>93</v>
      </c>
      <c r="N266" t="str">
        <v>mekanik</v>
      </c>
      <c r="O266" t="str">
        <v>25.715.3205 (47)</v>
      </c>
    </row>
    <row r="267" ht="30" customHeight="1">
      <c r="A267" s="1">
        <v>258</v>
      </c>
      <c r="B267" s="1">
        <v>258</v>
      </c>
      <c r="C267" t="str">
        <v>DN 150, İzlenebilir Flanş Arası Sıkıştırmalı Kelebek Vana</v>
      </c>
      <c r="D267" t="str">
        <v>adet</v>
      </c>
      <c r="E267" s="1">
        <v>10</v>
      </c>
      <c r="F267" s="2">
        <v>24332.5</v>
      </c>
      <c r="G267" s="2">
        <f>IF(F267="","",E267*F267)</f>
        <v>243325</v>
      </c>
      <c r="H267" t="str">
        <v>25.715.3106</v>
      </c>
      <c r="I267" t="str">
        <v>DN 150</v>
      </c>
      <c r="J267" t="str">
        <v>Ad</v>
      </c>
      <c r="K267" s="2">
        <v>24332.5</v>
      </c>
      <c r="L267" s="2">
        <v>8077.78</v>
      </c>
      <c r="M267" s="1">
        <v>93</v>
      </c>
      <c r="N267" t="str">
        <v>mekanik</v>
      </c>
      <c r="O267" t="str">
        <v>25.715.3206 (48)</v>
      </c>
    </row>
    <row r="268" ht="30" customHeight="1" xml:space="preserve">
      <c r="A268" s="1">
        <v>259</v>
      </c>
      <c r="B268" s="1">
        <v>259</v>
      </c>
      <c r="C268" t="str" xml:space="preserve">
        <v xml:space="preserve">DN 200, İzlenebilir Yükselen_x000d_
Milli Vana</v>
      </c>
      <c r="D268" t="str">
        <v>adet</v>
      </c>
      <c r="E268" s="1">
        <v>1</v>
      </c>
      <c r="F268" s="2">
        <v>60818.31</v>
      </c>
      <c r="G268" s="2">
        <f>IF(F268="","",E268*F268)</f>
        <v>60818.31</v>
      </c>
      <c r="H268" t="str">
        <v>25.715.4107</v>
      </c>
      <c r="I268" t="str">
        <v>DN 200</v>
      </c>
      <c r="J268" t="str">
        <v>Ad</v>
      </c>
      <c r="K268" s="2">
        <v>60818.31</v>
      </c>
      <c r="L268" s="2">
        <v>11650.9</v>
      </c>
      <c r="M268" s="1">
        <v>90</v>
      </c>
      <c r="N268" t="str">
        <v>mekanik</v>
      </c>
      <c r="O268" t="str">
        <v>25.715.3207 (41)</v>
      </c>
    </row>
    <row r="269" ht="15" customHeight="1">
      <c r="A269" s="1">
        <v>260</v>
      </c>
      <c r="B269" s="1">
        <v>260</v>
      </c>
      <c r="C269" t="str">
        <v>DN 50, Yangın Çek Vana</v>
      </c>
      <c r="D269" t="str">
        <v>adet</v>
      </c>
      <c r="E269" s="1">
        <v>1</v>
      </c>
      <c r="F269" s="2">
        <v>6314.09</v>
      </c>
      <c r="G269" s="2">
        <f>IF(F269="","",E269*F269)</f>
        <v>6314.09</v>
      </c>
      <c r="H269" t="str">
        <v>25.715.4204</v>
      </c>
      <c r="I269" t="str">
        <v>DN 50</v>
      </c>
      <c r="J269" t="str">
        <v>Ad</v>
      </c>
      <c r="K269" s="2">
        <v>6314.09</v>
      </c>
      <c r="L269" s="2">
        <v>750.78</v>
      </c>
      <c r="M269" s="1">
        <v>87</v>
      </c>
      <c r="N269" t="str">
        <v>mekanik</v>
      </c>
      <c r="O269" t="str">
        <v>25.715.4102 (36)</v>
      </c>
    </row>
    <row r="270" ht="15" customHeight="1">
      <c r="A270" s="1">
        <v>261</v>
      </c>
      <c r="B270" s="1">
        <v>261</v>
      </c>
      <c r="C270" t="str">
        <v>DN 100, Yangın Çek Vana</v>
      </c>
      <c r="D270" t="str">
        <v>adet</v>
      </c>
      <c r="E270" s="1">
        <v>1</v>
      </c>
      <c r="F270" s="2">
        <v>14152.15</v>
      </c>
      <c r="G270" s="2">
        <f>IF(F270="","",E270*F270)</f>
        <v>14152.15</v>
      </c>
      <c r="H270" t="str">
        <v>25.715.4207</v>
      </c>
      <c r="I270" t="str">
        <v>DN 100</v>
      </c>
      <c r="J270" t="str">
        <v>Ad</v>
      </c>
      <c r="K270" s="2">
        <v>14152.15</v>
      </c>
      <c r="L270" s="2">
        <v>1501.55</v>
      </c>
      <c r="M270" s="1">
        <v>88</v>
      </c>
      <c r="N270" t="str">
        <v>mekanik</v>
      </c>
      <c r="O270" t="str">
        <v>25.720.7202 (39)</v>
      </c>
    </row>
    <row r="271" ht="15" customHeight="1">
      <c r="A271" s="1">
        <v>262</v>
      </c>
      <c r="B271" s="1">
        <v>262</v>
      </c>
      <c r="C271" t="str">
        <v>DN 150, Yangın Çek Vana</v>
      </c>
      <c r="D271" t="str">
        <v>adet</v>
      </c>
      <c r="E271" s="1">
        <v>2</v>
      </c>
      <c r="F271" s="2">
        <v>25181.4</v>
      </c>
      <c r="G271" s="2">
        <f>IF(F271="","",E271*F271)</f>
        <v>50362.8</v>
      </c>
      <c r="H271" t="str">
        <v>25.715.4208</v>
      </c>
      <c r="I271" t="str">
        <v>DN 150</v>
      </c>
      <c r="J271" t="str">
        <v>Ad</v>
      </c>
      <c r="K271" s="2">
        <v>25181.4</v>
      </c>
      <c r="L271" s="2">
        <v>1876.94</v>
      </c>
      <c r="M271" s="1">
        <v>88</v>
      </c>
      <c r="N271" t="str">
        <v>mekanik</v>
      </c>
      <c r="O271" t="str">
        <v>25.720.7203 (40)</v>
      </c>
    </row>
    <row r="272" ht="15" customHeight="1">
      <c r="A272" s="1">
        <v>263</v>
      </c>
      <c r="B272" s="1">
        <v>263</v>
      </c>
      <c r="C272" t="str">
        <v>Su Akış Anahtarı: (Ölçü: Ad.)</v>
      </c>
      <c r="D272" t="str">
        <v>adet</v>
      </c>
      <c r="E272" s="1">
        <v>5</v>
      </c>
      <c r="F272" s="2">
        <v>6766.01</v>
      </c>
      <c r="G272" s="2">
        <f>IF(F272="","",E272*F272)</f>
        <v>33830.05</v>
      </c>
      <c r="H272" t="str">
        <v>25.715.4300</v>
      </c>
      <c r="I272" t="str">
        <v>Su Akış Anahtarı: (Ölçü: Ad.) Sulu yangın sisteminin herhangi bir su kullanımı durumunda önceden ayarlı bir akış değerinde, elektriksel olarak kontak çıkışı sağlayan, esnek çalparası boru üzerinde açılan bir delikten boruya girerek, U vidayla boruya sıkıştırılan, suyun borudaki küçük salınımları nedeniyle kontak vermesi gecikmeli hale getirilmiş olan akış anahtarının iş yerinde temini ve projesine, teknik şartnamesine uygun olarak montajı ve çalışır halde teslimi.</v>
      </c>
      <c r="J272" t="str">
        <v>Ad</v>
      </c>
      <c r="K272" s="2">
        <v>6766.01</v>
      </c>
      <c r="L272" s="2">
        <v>646.5</v>
      </c>
      <c r="M272" s="1">
        <v>50</v>
      </c>
      <c r="N272" t="str">
        <v>mekanik</v>
      </c>
      <c r="O272" t="str">
        <v>25.550.4101 (41)</v>
      </c>
    </row>
    <row r="273" ht="60" customHeight="1" xml:space="preserve">
      <c r="A273" s="1">
        <v>264</v>
      </c>
      <c r="B273" s="1">
        <v>264</v>
      </c>
      <c r="C273" t="str" xml:space="preserve">
        <v xml:space="preserve">Anma Debisi 50-59 m³/h, Anma Basma Yüksekliği 60 mSS, Yatay Arkadan Emişli Yangın Pompası,_x000d_
Elektrik Motorlu</v>
      </c>
      <c r="D273" t="str">
        <v>adet</v>
      </c>
      <c r="E273" s="1">
        <v>2</v>
      </c>
      <c r="F273" s="2">
        <v>184562.98</v>
      </c>
      <c r="G273" s="2">
        <f>IF(F273="","",E273*F273)</f>
        <v>369125.96</v>
      </c>
      <c r="H273" t="str">
        <v>25.720.1204</v>
      </c>
      <c r="I273" t="str">
        <v>50-59 m³/h</v>
      </c>
      <c r="J273" t="str">
        <v>Ad</v>
      </c>
      <c r="K273" s="2">
        <v>184562.98</v>
      </c>
      <c r="L273" s="2">
        <v>20753.03</v>
      </c>
      <c r="M273" s="1">
        <v>58</v>
      </c>
      <c r="N273" t="str">
        <v>mekanik</v>
      </c>
      <c r="O273" t="str">
        <v>25.720.1205 (58)</v>
      </c>
    </row>
    <row r="274" ht="15" customHeight="1">
      <c r="A274" s="1">
        <v>265</v>
      </c>
      <c r="B274" s="1">
        <v>265</v>
      </c>
      <c r="C274" t="str">
        <v>Anma Debisi 1,0 m³/h, Anma</v>
      </c>
      <c r="D274" t="str">
        <v>adet</v>
      </c>
      <c r="E274" s="1">
        <v>1</v>
      </c>
      <c r="F274" s="2">
        <v>44744.09</v>
      </c>
      <c r="G274" s="2">
        <f>IF(F274="","",E274*F274)</f>
        <v>44744.09</v>
      </c>
      <c r="H274" t="str">
        <v>25.720.4101</v>
      </c>
      <c r="I274" t="str">
        <v>1,0 m³/h</v>
      </c>
      <c r="J274" t="str">
        <v>Ad</v>
      </c>
      <c r="K274" s="2">
        <v>44744.09</v>
      </c>
      <c r="L274" s="2">
        <v>2895.03</v>
      </c>
      <c r="M274" s="1">
        <v>31</v>
      </c>
      <c r="N274" t="str">
        <v>mekanik</v>
      </c>
      <c r="O274" t="str">
        <v>25.720.4105 (31)</v>
      </c>
    </row>
    <row r="275" ht="45" customHeight="1">
      <c r="C275" t="str">
        <v>Basma Yüksekliği 60 mSS, Elektrik Motorlu Kaçak Giderme Pompa Grubu</v>
      </c>
    </row>
    <row r="276" ht="30" customHeight="1">
      <c r="A276" s="1">
        <v>266</v>
      </c>
      <c r="B276" s="1">
        <v>266</v>
      </c>
      <c r="C276" t="str">
        <v>DN 100 Pompa akışmetre, Pompa akışmetre</v>
      </c>
      <c r="D276" t="str">
        <v>adet</v>
      </c>
      <c r="E276" s="1">
        <v>1</v>
      </c>
      <c r="F276" s="2">
        <v>40956.55</v>
      </c>
      <c r="G276" s="2">
        <f>IF(F276="","",E276*F276)</f>
        <v>40956.55</v>
      </c>
      <c r="H276" t="str">
        <v>25.720.7202</v>
      </c>
      <c r="I276" t="str">
        <v>DN 100</v>
      </c>
      <c r="J276" t="str">
        <v/>
      </c>
      <c r="K276" s="2">
        <v>40956.55</v>
      </c>
      <c r="L276" s="2">
        <v>5255.43</v>
      </c>
      <c r="M276" s="1">
        <v>72</v>
      </c>
      <c r="N276" t="str">
        <v>mekanik</v>
      </c>
    </row>
    <row r="277" ht="45" customHeight="1" xml:space="preserve">
      <c r="A277" s="1">
        <v>267</v>
      </c>
      <c r="B277" s="1">
        <v>267</v>
      </c>
      <c r="C277" t="str" xml:space="preserve">
        <v xml:space="preserve">2-3 m3 arası - en az 3 kg_x000d_
Nozulsuz sistem, Pano İçi Gazlı Yangın Söndürme sistemi</v>
      </c>
      <c r="D277" t="str">
        <v>adet</v>
      </c>
      <c r="E277" s="1">
        <v>15</v>
      </c>
      <c r="F277" s="2">
        <v>32041.96</v>
      </c>
      <c r="G277" s="2">
        <f>IF(F277="","",E277*F277)</f>
        <v>480629.4</v>
      </c>
      <c r="H277" t="str">
        <v>25.727.5103</v>
      </c>
      <c r="I277" t="str">
        <v>2-3 m3 arası - en az 3 kg</v>
      </c>
      <c r="J277" t="str">
        <v/>
      </c>
      <c r="K277" s="2">
        <v>32041.96</v>
      </c>
      <c r="L277" s="2">
        <v>3715.64</v>
      </c>
      <c r="M277" s="1">
        <v>86</v>
      </c>
      <c r="N277" t="str">
        <v>mekanik</v>
      </c>
      <c r="O277" t="str">
        <v>25.727.5203 (79)</v>
      </c>
    </row>
    <row r="278" ht="45" customHeight="1" xml:space="preserve">
      <c r="A278" s="1">
        <v>268</v>
      </c>
      <c r="B278" s="1">
        <v>268</v>
      </c>
      <c r="C278" t="str" xml:space="preserve">
        <v xml:space="preserve">6 kg ABC Kuru Kimyasal Tozlu_x000d_
Taşınabilir Yangın Söndürücüler_x000d_
(TS 9893 EN 12416-1,2)</v>
      </c>
      <c r="D278" t="str">
        <v>adet</v>
      </c>
      <c r="E278" s="1">
        <v>6</v>
      </c>
      <c r="F278" s="2">
        <v>1605.44</v>
      </c>
      <c r="G278" s="2">
        <f>IF(F278="","",E278*F278)</f>
        <v>9632.64</v>
      </c>
      <c r="H278" t="str">
        <v>25.732.1104</v>
      </c>
      <c r="I278" t="str">
        <v>6 kg</v>
      </c>
      <c r="J278" t="str">
        <v>Ad</v>
      </c>
      <c r="K278" s="2">
        <v>1605.44</v>
      </c>
      <c r="L278" s="2">
        <v>215.5</v>
      </c>
      <c r="M278" s="1">
        <v>79</v>
      </c>
      <c r="N278" t="str">
        <v>mekanik</v>
      </c>
      <c r="O278" t="str">
        <v>25.732.1401 (51)</v>
      </c>
    </row>
    <row r="279" ht="75" customHeight="1" xml:space="preserve">
      <c r="A279" s="1">
        <v>269</v>
      </c>
      <c r="B279" s="1">
        <v>269</v>
      </c>
      <c r="C279" t="str" xml:space="preserve">
        <v xml:space="preserve">4 x 1600 A / Otomatik Transfer Şalterleri / KORUMA, KUMANDA VE ANAHTARLAMA ÜRÜNLERİ_x000d_
(Rayici)</v>
      </c>
      <c r="D279" t="str">
        <v>adet</v>
      </c>
      <c r="E279" s="1">
        <v>1</v>
      </c>
      <c r="F279" s="2">
        <v>178065.71</v>
      </c>
      <c r="G279" s="2">
        <f>IF(F279="","",E279*F279)</f>
        <v>178065.71</v>
      </c>
      <c r="H279" t="str">
        <v>35.120.2024</v>
      </c>
      <c r="I279" t="str">
        <v>4 x 1600 A</v>
      </c>
      <c r="J279" t="str">
        <v>Ad</v>
      </c>
      <c r="K279" s="2">
        <v>178065.71</v>
      </c>
      <c r="L279" s="2">
        <v>3145.61</v>
      </c>
      <c r="M279" s="1">
        <v>60</v>
      </c>
      <c r="N279" t="str">
        <v>elektrik</v>
      </c>
      <c r="O279" t="str">
        <v>35.120.2011 (36)</v>
      </c>
    </row>
    <row r="280" ht="30" customHeight="1">
      <c r="A280" s="1">
        <v>270</v>
      </c>
      <c r="B280" s="1">
        <v>270</v>
      </c>
      <c r="C280" t="str">
        <v>2 m, 65x65x7'lik galvanizli toprak elektrot ve gömülmesi</v>
      </c>
      <c r="D280" t="str">
        <v>adet</v>
      </c>
      <c r="E280" s="1">
        <v>10</v>
      </c>
      <c r="G280" t="str">
        <f>IF(F280="","",E280*F280)</f>
        <v/>
      </c>
      <c r="M280" s="1">
        <v>0</v>
      </c>
    </row>
    <row r="281" ht="60" customHeight="1" xml:space="preserve">
      <c r="A281" s="1">
        <v>271</v>
      </c>
      <c r="B281" s="1">
        <v>271</v>
      </c>
      <c r="C281" t="str" xml:space="preserve">
        <v xml:space="preserve">1x240ş mm², 0.6/1 KV ALÜMİNYUM-D KABLO_x000d_
YAVV (NAYY) (aynı toprak kanala ilave döşenen)</v>
      </c>
      <c r="D281" t="str">
        <v>metre</v>
      </c>
      <c r="E281" s="1">
        <v>450</v>
      </c>
      <c r="G281" t="str">
        <f>IF(F281="","",E281*F281)</f>
        <v/>
      </c>
      <c r="M281" s="1">
        <v>0</v>
      </c>
    </row>
    <row r="282" ht="60" customHeight="1" xml:space="preserve">
      <c r="A282" s="1">
        <v>272</v>
      </c>
      <c r="B282" s="1">
        <v>272</v>
      </c>
      <c r="C282" t="str" xml:space="preserve">
        <v xml:space="preserve">3x240ş+120 mm², 0.6/1 KV ALÜMİNYUM-D KABLO_x000d_
YAVV (NAYY) (aynı toprak kanala ilave döşenen)</v>
      </c>
      <c r="D282" t="str">
        <v>metre</v>
      </c>
      <c r="E282" s="1">
        <v>200</v>
      </c>
      <c r="F282" s="2">
        <v>1272.91</v>
      </c>
      <c r="G282" s="2">
        <f>IF(F282="","",E282*F282)</f>
        <v>254582</v>
      </c>
      <c r="H282" t="str">
        <v>35.140.5109</v>
      </c>
      <c r="I282" t="str">
        <v>3 x 240 sç/ 120 sç mm2</v>
      </c>
      <c r="J282" t="str">
        <v>m</v>
      </c>
      <c r="K282" s="2">
        <v>1272.91</v>
      </c>
      <c r="L282" s="2">
        <v>293.35</v>
      </c>
      <c r="M282" s="1">
        <v>28</v>
      </c>
      <c r="N282" t="str">
        <v>elektrik</v>
      </c>
    </row>
    <row r="283" ht="105" customHeight="1" xml:space="preserve">
      <c r="A283" s="1">
        <v>273</v>
      </c>
      <c r="B283" s="1">
        <v>273</v>
      </c>
      <c r="C283" t="str" xml:space="preserve">
        <v xml:space="preserve">3x240ş/120 mm², 0.6/1 KV YAXZ3H (NA2XFGbH) (2XFGbH) HALOJENSİZ ALÜMİNYUM (XLPE YALITKANLI, PVC DIŞ_x000d_
KILIFLI) KABLO (aynı toprak kanala ilave döşenen)</v>
      </c>
      <c r="D283" t="str">
        <v>metre</v>
      </c>
      <c r="E283" s="1">
        <v>200</v>
      </c>
      <c r="G283" t="str">
        <f>IF(F283="","",E283*F283)</f>
        <v/>
      </c>
      <c r="M283" s="1">
        <v>0</v>
      </c>
    </row>
    <row r="284" ht="45" customHeight="1">
      <c r="A284" s="1">
        <v>274</v>
      </c>
      <c r="B284" s="1">
        <v>274</v>
      </c>
      <c r="C284" t="str">
        <v>3x240sc/120 sc mm², 0.6/1 kV YAVV (NAYY) BÜZÜŞMELİ TİP EK MUFLAR</v>
      </c>
      <c r="D284" t="str">
        <v>adet</v>
      </c>
      <c r="E284" s="1">
        <v>3</v>
      </c>
      <c r="F284" s="2">
        <v>1272.91</v>
      </c>
      <c r="G284" s="2">
        <f>IF(F284="","",E284*F284)</f>
        <v>3818.73</v>
      </c>
      <c r="H284" t="str">
        <v>35.140.5109</v>
      </c>
      <c r="I284" t="str">
        <v>3 x 240 sç/ 120 sç mm2</v>
      </c>
      <c r="J284" t="str">
        <v>m</v>
      </c>
      <c r="K284" s="2">
        <v>1272.91</v>
      </c>
      <c r="L284" s="2">
        <v>293.35</v>
      </c>
      <c r="M284" s="1">
        <v>22</v>
      </c>
      <c r="N284" t="str">
        <v>elektrik</v>
      </c>
    </row>
    <row r="285" ht="60" customHeight="1" xml:space="preserve">
      <c r="A285" s="1">
        <v>275</v>
      </c>
      <c r="B285" s="1">
        <v>275</v>
      </c>
      <c r="C285" t="str" xml:space="preserve">
        <v xml:space="preserve">1kV, 1x240ş mm², ALÜMİNYUM-D KABLO_x000d_
YAVV (NAYY) (yeraltına-toprak kanala ana kablo)</v>
      </c>
      <c r="D285" t="str">
        <v>metre</v>
      </c>
      <c r="E285" s="1">
        <v>150</v>
      </c>
      <c r="F285" s="2">
        <v>1272.91</v>
      </c>
      <c r="G285" s="2">
        <f>IF(F285="","",E285*F285)</f>
        <v>190936.5</v>
      </c>
      <c r="H285" t="str">
        <v>35.140.5109</v>
      </c>
      <c r="I285" t="str">
        <v>3 x 240 sç/ 120 sç mm2</v>
      </c>
      <c r="J285" t="str">
        <v>m</v>
      </c>
      <c r="K285" s="2">
        <v>1272.91</v>
      </c>
      <c r="L285" s="2">
        <v>293.35</v>
      </c>
      <c r="M285" s="1">
        <v>28</v>
      </c>
      <c r="N285" t="str">
        <v>elektrik</v>
      </c>
      <c r="O285" t="str">
        <v>35.140.5110 (23)</v>
      </c>
    </row>
    <row r="286" ht="45" customHeight="1" xml:space="preserve">
      <c r="A286" s="1">
        <v>276</v>
      </c>
      <c r="B286" s="1">
        <v>276</v>
      </c>
      <c r="C286" t="str" xml:space="preserve">
        <v xml:space="preserve">En ölçüsü en az 800 mm olan galvanizli dikili tip sac pano,_x000d_
Derinlik en az 800 mm (1. pano)</v>
      </c>
      <c r="D286" t="str">
        <v>adet</v>
      </c>
      <c r="E286" s="1">
        <v>1</v>
      </c>
      <c r="F286" s="2">
        <v>45189.55</v>
      </c>
      <c r="G286" s="2">
        <f>IF(F286="","",E286*F286)</f>
        <v>45189.55</v>
      </c>
      <c r="H286" t="str">
        <v>35.100.1105</v>
      </c>
      <c r="I286" t="str">
        <v>En ölçüsü en az 800 mm olan galvanizli dikili tip sac pano.</v>
      </c>
      <c r="J286" t="str">
        <v>Ad</v>
      </c>
      <c r="K286" s="2">
        <v>45189.55</v>
      </c>
      <c r="L286" s="2">
        <v>4716.5</v>
      </c>
      <c r="M286" s="1">
        <v>85</v>
      </c>
      <c r="N286" t="str">
        <v>elektrik</v>
      </c>
      <c r="O286" t="str">
        <v>35.100.1205 (85)</v>
      </c>
    </row>
    <row r="287" ht="45" customHeight="1" xml:space="preserve">
      <c r="A287" s="1">
        <v>277</v>
      </c>
      <c r="B287" s="1">
        <v>277</v>
      </c>
      <c r="C287" t="str" xml:space="preserve">
        <v xml:space="preserve">0,10-0,20 m²'ye kadar (0,20 m²_x000d_
dahil), Sıva üstü galvaniz sac_x000d_
tablolar</v>
      </c>
      <c r="D287" t="str">
        <v>adet</v>
      </c>
      <c r="E287" s="1">
        <v>1</v>
      </c>
      <c r="F287" s="2">
        <v>5519.14</v>
      </c>
      <c r="G287" s="2">
        <f>IF(F287="","",E287*F287)</f>
        <v>5519.14</v>
      </c>
      <c r="H287" t="str">
        <v>35.100.2102</v>
      </c>
      <c r="I287" t="str">
        <v>0,10 - 0,20m2'ye kadar (0,20 m2 dahil)</v>
      </c>
      <c r="J287" t="str">
        <v>Ad</v>
      </c>
      <c r="K287" s="2">
        <v>5519.14</v>
      </c>
      <c r="L287" s="2">
        <v>976.9</v>
      </c>
      <c r="M287" s="1">
        <v>72</v>
      </c>
      <c r="N287" t="str">
        <v>elektrik</v>
      </c>
      <c r="O287" t="str">
        <v>35.100.2202 (60)</v>
      </c>
    </row>
    <row r="288" ht="75" customHeight="1" xml:space="preserve">
      <c r="A288" s="1">
        <v>278</v>
      </c>
      <c r="B288" s="1">
        <v>278</v>
      </c>
      <c r="C288" t="str" xml:space="preserve">
        <v xml:space="preserve">Önden kapaklı pano, Özel sac_x000d_
panolar (TS 3367 EN 60439-1)_x000d_
Not:"Tip testler" yaptırılarak,buna ait test sonuçları İdareye_x000d_
verilecektir</v>
      </c>
      <c r="D288" t="str">
        <v>adet</v>
      </c>
      <c r="E288" s="1">
        <v>12</v>
      </c>
      <c r="F288" s="2">
        <v>46909.39</v>
      </c>
      <c r="G288" s="2">
        <f>IF(F288="","",E288*F288)</f>
        <v>562912.68</v>
      </c>
      <c r="H288" t="str">
        <v>35.100.6201</v>
      </c>
      <c r="I288" t="str">
        <v>Önden kapaklı pano</v>
      </c>
      <c r="J288" t="str">
        <v>Ad</v>
      </c>
      <c r="K288" s="2">
        <v>46909.39</v>
      </c>
      <c r="L288" s="2">
        <v>5163.15</v>
      </c>
      <c r="M288" s="1">
        <v>74</v>
      </c>
      <c r="N288" t="str">
        <v>elektrik</v>
      </c>
      <c r="O288" t="str">
        <v>35.100.6202 (68)</v>
      </c>
    </row>
    <row r="289" ht="30" customHeight="1" xml:space="preserve">
      <c r="A289" s="1">
        <v>279</v>
      </c>
      <c r="B289" s="1">
        <v>279</v>
      </c>
      <c r="C289" t="str" xml:space="preserve">
        <v xml:space="preserve">0,40-0,50 m²'ye kadar (0,50 m²_x000d_
dahil), Sıva üstü sac tablolar (TS</v>
      </c>
      <c r="D289" t="str">
        <v>adet</v>
      </c>
      <c r="E289" s="1">
        <v>5</v>
      </c>
      <c r="F289" s="2">
        <v>9466.16</v>
      </c>
      <c r="G289" s="2">
        <f>IF(F289="","",E289*F289)</f>
        <v>47330.8</v>
      </c>
      <c r="H289" t="str">
        <v>35.100.2105</v>
      </c>
      <c r="I289" t="str">
        <v>0,40 - 0,50m2'ye kadar (0,50 m2 dahil)</v>
      </c>
      <c r="J289" t="str">
        <v>Ad</v>
      </c>
      <c r="K289" s="2">
        <v>9466.16</v>
      </c>
      <c r="L289" s="2">
        <v>1032.64</v>
      </c>
      <c r="M289" s="1">
        <v>63</v>
      </c>
      <c r="N289" t="str">
        <v>elektrik</v>
      </c>
      <c r="O289" t="str">
        <v>35.100.6405 (53)</v>
      </c>
    </row>
    <row r="290" ht="45" customHeight="1" xml:space="preserve">
      <c r="C290" t="str" xml:space="preserve">
        <v xml:space="preserve">3367 EN 60439-1) Not: "Tip_x000d_
testler" yaptırılarak,buna ait test sonuçları İdareye verilecektir</v>
      </c>
    </row>
    <row r="291" ht="75" customHeight="1" xml:space="preserve">
      <c r="A291" s="1">
        <v>280</v>
      </c>
      <c r="B291" s="1">
        <v>280</v>
      </c>
      <c r="C291" t="str" xml:space="preserve">
        <v xml:space="preserve">0,20-0,30 m²'ye kadar (0,30 m² dahil), Gömme tip sac tablolar (TS 3367 EN 60439-1) Not: "Tip_x000d_
testler" yaptırılarak,buna ait test sonuçları İdareye verilecektir</v>
      </c>
      <c r="D291" t="str">
        <v>adet</v>
      </c>
      <c r="E291" s="1">
        <v>2</v>
      </c>
      <c r="F291" s="2">
        <v>6307.74</v>
      </c>
      <c r="G291" s="2">
        <f>IF(F291="","",E291*F291)</f>
        <v>12615.48</v>
      </c>
      <c r="H291" t="str">
        <v>35.100.6503</v>
      </c>
      <c r="I291" t="str">
        <v>0,20 - 0,30m2'ye kadar (0,30 m2 dahil)</v>
      </c>
      <c r="J291" t="str">
        <v>Ad</v>
      </c>
      <c r="K291" s="2">
        <v>6307.74</v>
      </c>
      <c r="L291" s="2">
        <v>990.83</v>
      </c>
      <c r="M291" s="1">
        <v>63</v>
      </c>
      <c r="N291" t="str">
        <v>elektrik</v>
      </c>
      <c r="O291" t="str">
        <v>35.100.6403 (58)</v>
      </c>
    </row>
    <row r="292" ht="75" customHeight="1" xml:space="preserve">
      <c r="A292" s="1">
        <v>281</v>
      </c>
      <c r="B292" s="1">
        <v>281</v>
      </c>
      <c r="C292" t="str" xml:space="preserve">
        <v xml:space="preserve">Döküm kutu içine ve panolara konulacak TSE şartlarına uygun bakır bara temin ve montajı ve TS EN 60445'deki renklere_x000d_
boyanması</v>
      </c>
      <c r="D292" t="str">
        <v>kilogram</v>
      </c>
      <c r="E292" s="1">
        <v>180</v>
      </c>
      <c r="F292" s="2">
        <v>1365.04</v>
      </c>
      <c r="G292" s="2">
        <f>IF(F292="","",E292*F292)</f>
        <v>245707.2</v>
      </c>
      <c r="H292" t="str">
        <v>35.100.7000</v>
      </c>
      <c r="I292" t="str">
        <v>Döküm kutu içine ve panolara konulacak TSE şartlarına uygun bakır bara temin ve montajı ve TS EN 60445'deki renklere boyanması: (Ölçü:kg)</v>
      </c>
      <c r="J292" t="str">
        <v>kg</v>
      </c>
      <c r="K292" s="2">
        <v>1365.04</v>
      </c>
      <c r="L292" s="2">
        <v>446.64</v>
      </c>
      <c r="M292" s="1">
        <v>98</v>
      </c>
      <c r="N292" t="str">
        <v>elektrik</v>
      </c>
    </row>
    <row r="293" ht="45" customHeight="1" xml:space="preserve">
      <c r="A293" s="1">
        <v>282</v>
      </c>
      <c r="B293" s="1">
        <v>282</v>
      </c>
      <c r="C293" t="str" xml:space="preserve">
        <v xml:space="preserve">24 Otomatik sigortalık,_x000d_
Halojensiz alev geciktirici tip sıva altı tablolar</v>
      </c>
      <c r="D293" t="str">
        <v>adet</v>
      </c>
      <c r="E293" s="1">
        <v>10</v>
      </c>
      <c r="F293" s="2">
        <v>2011.51</v>
      </c>
      <c r="G293" s="2">
        <f>IF(F293="","",E293*F293)</f>
        <v>20115.1</v>
      </c>
      <c r="H293" t="str">
        <v>35.100.7207</v>
      </c>
      <c r="I293" t="str">
        <v>24 Otomatik sigortalık</v>
      </c>
      <c r="J293" t="str">
        <v>Ad</v>
      </c>
      <c r="K293" s="2">
        <v>2011.51</v>
      </c>
      <c r="L293" s="2">
        <v>455</v>
      </c>
      <c r="M293" s="1">
        <v>91</v>
      </c>
      <c r="N293" t="str">
        <v>elektrik</v>
      </c>
      <c r="O293" t="str">
        <v>35.100.7107 (78)</v>
      </c>
    </row>
    <row r="294" ht="45" customHeight="1" xml:space="preserve">
      <c r="A294" s="1">
        <v>283</v>
      </c>
      <c r="B294" s="1">
        <v>283</v>
      </c>
      <c r="C294" t="str" xml:space="preserve">
        <v xml:space="preserve">36 Otomatik sigortalık, Halojensiz alev geciktirici tip sıva_x000d_
altı tablolar</v>
      </c>
      <c r="D294" t="str">
        <v>adet</v>
      </c>
      <c r="E294" s="1">
        <v>5</v>
      </c>
      <c r="F294" s="2">
        <v>2561.11</v>
      </c>
      <c r="G294" s="2">
        <f>IF(F294="","",E294*F294)</f>
        <v>12805.55</v>
      </c>
      <c r="H294" t="str">
        <v>35.100.7208</v>
      </c>
      <c r="I294" t="str">
        <v>36 Otomatik sigortalık</v>
      </c>
      <c r="J294" t="str">
        <v>Ad</v>
      </c>
      <c r="K294" s="2">
        <v>2561.11</v>
      </c>
      <c r="L294" s="2">
        <v>456.39</v>
      </c>
      <c r="M294" s="1">
        <v>91</v>
      </c>
      <c r="N294" t="str">
        <v>elektrik</v>
      </c>
      <c r="O294" t="str">
        <v>35.100.7108 (78)</v>
      </c>
    </row>
    <row r="295" ht="45" customHeight="1" xml:space="preserve">
      <c r="A295" s="1">
        <v>284</v>
      </c>
      <c r="B295" s="1">
        <v>284</v>
      </c>
      <c r="C295" t="str" xml:space="preserve">
        <v xml:space="preserve">25 A'e kadar (6 kA), Anahtarlı_x000d_
Otomatik Sigortalar (6 kA kesme kapasiteli)</v>
      </c>
      <c r="D295" t="str">
        <v>adet</v>
      </c>
      <c r="E295" s="1">
        <v>400</v>
      </c>
      <c r="F295" s="2">
        <v>329.86</v>
      </c>
      <c r="G295" s="2">
        <f>IF(F295="","",E295*F295)</f>
        <v>131944</v>
      </c>
      <c r="H295" t="str">
        <v>35.105.1211</v>
      </c>
      <c r="I295" t="str">
        <v>25 A'e kadar (en az 6 kA)</v>
      </c>
      <c r="J295" t="str">
        <v>Ad</v>
      </c>
      <c r="K295" s="2">
        <v>329.86</v>
      </c>
      <c r="L295" s="2">
        <v>178.65</v>
      </c>
      <c r="M295" s="1">
        <v>63</v>
      </c>
      <c r="N295" t="str">
        <v>elektrik</v>
      </c>
      <c r="O295" t="str">
        <v>35.105.1231 (60)</v>
      </c>
    </row>
    <row r="296" ht="45" customHeight="1">
      <c r="A296" s="1">
        <v>285</v>
      </c>
      <c r="B296" s="1">
        <v>285</v>
      </c>
      <c r="C296" t="str">
        <v>Üç fazlı 40 A'e kadar (10 kA), Anahtarlı Otomatik Sigortalar (10 kA kesme kapasiteli)</v>
      </c>
      <c r="D296" t="str">
        <v>adet</v>
      </c>
      <c r="E296" s="1">
        <v>70</v>
      </c>
      <c r="F296" s="2">
        <v>1389.19</v>
      </c>
      <c r="G296" s="2">
        <f>IF(F296="","",E296*F296)</f>
        <v>97243.3</v>
      </c>
      <c r="H296" t="str">
        <v>35.105.1332</v>
      </c>
      <c r="I296" t="str">
        <v>Üç fazlı 40 A'e kadar (en az 10 kA)</v>
      </c>
      <c r="J296" t="str">
        <v>Ad</v>
      </c>
      <c r="K296" s="2">
        <v>1389.19</v>
      </c>
      <c r="L296" s="2">
        <v>178.65</v>
      </c>
      <c r="M296" s="1">
        <v>70</v>
      </c>
      <c r="N296" t="str">
        <v>elektrik</v>
      </c>
      <c r="O296" t="str">
        <v>35.105.1342 (63)</v>
      </c>
    </row>
    <row r="297" ht="45" customHeight="1" xml:space="preserve">
      <c r="A297" s="1">
        <v>286</v>
      </c>
      <c r="B297" s="1">
        <v>286</v>
      </c>
      <c r="C297" t="str" xml:space="preserve">
        <v xml:space="preserve">Üç fazlı 63 A'e kadar (10 kA), Anahtarlı Otomatik Sigortalar (10_x000d_
kA kesme kapasiteli)</v>
      </c>
      <c r="D297" t="str">
        <v>adet</v>
      </c>
      <c r="E297" s="1">
        <v>10</v>
      </c>
      <c r="F297" s="2">
        <v>1919.74</v>
      </c>
      <c r="G297" s="2">
        <f>IF(F297="","",E297*F297)</f>
        <v>19197.4</v>
      </c>
      <c r="H297" t="str">
        <v>35.105.1333</v>
      </c>
      <c r="I297" t="str">
        <v>Üç fazlı 63 A'e kadar (en az 10 kA)</v>
      </c>
      <c r="J297" t="str">
        <v>Ad</v>
      </c>
      <c r="K297" s="2">
        <v>1919.74</v>
      </c>
      <c r="L297" s="2">
        <v>178.65</v>
      </c>
      <c r="M297" s="1">
        <v>70</v>
      </c>
      <c r="N297" t="str">
        <v>elektrik</v>
      </c>
      <c r="O297" t="str">
        <v>35.105.1343 (64)</v>
      </c>
    </row>
    <row r="298" ht="90" customHeight="1" xml:space="preserve">
      <c r="A298" s="1">
        <v>287</v>
      </c>
      <c r="B298" s="1">
        <v>287</v>
      </c>
      <c r="C298" t="str" xml:space="preserve">
        <v xml:space="preserve">3x100 A'e kadar Icu: 35 kA, I1 (0,8-1) In, 3 kutuplu, 400 V AC'de en az Icu: 35 kA, Termik Koruma ayarlı, Manyetik Koruma Sabit, Kompakt tip termik ve_x000d_
manyetik koruyuculu şalterler</v>
      </c>
      <c r="D298" t="str">
        <v>adet</v>
      </c>
      <c r="E298" s="1">
        <v>2</v>
      </c>
      <c r="F298" s="2">
        <v>4793.04</v>
      </c>
      <c r="G298" s="2">
        <f>IF(F298="","",E298*F298)</f>
        <v>9586.08</v>
      </c>
      <c r="H298" t="str">
        <v>35.110.1102</v>
      </c>
      <c r="I298" t="str">
        <v>3 x 100 A'e kadar Icu: 35 kA, I1: (0,8-1)In</v>
      </c>
      <c r="J298" t="str">
        <v>Ad</v>
      </c>
      <c r="K298" s="2">
        <v>4793.04</v>
      </c>
      <c r="L298" s="2">
        <v>592.98</v>
      </c>
      <c r="M298" s="1">
        <v>86</v>
      </c>
      <c r="N298" t="str">
        <v>elektrik</v>
      </c>
      <c r="O298" t="str">
        <v>35.110.1503 (77)</v>
      </c>
    </row>
    <row r="299" ht="90" customHeight="1" xml:space="preserve">
      <c r="A299" s="1">
        <v>288</v>
      </c>
      <c r="B299" s="1">
        <v>288</v>
      </c>
      <c r="C299" t="str" xml:space="preserve">
        <v xml:space="preserve">3x125 A'e kadar Icu: 35 kA, I1 (0,8-1) In, 3 kutuplu, 400 V AC'de en az Icu: 35 kA, Termik Koruma ayarlı, Manyetik Koruma Sabit, Kompakt tip termik ve_x000d_
manyetik koruyuculu şalterler</v>
      </c>
      <c r="D299" t="str">
        <v>adet</v>
      </c>
      <c r="E299" s="1">
        <v>4</v>
      </c>
      <c r="F299" s="2">
        <v>6146.33</v>
      </c>
      <c r="G299" s="2">
        <f>IF(F299="","",E299*F299)</f>
        <v>24585.32</v>
      </c>
      <c r="H299" t="str">
        <v>35.110.1103</v>
      </c>
      <c r="I299" t="str">
        <v>3 x 125 A'e kadar Icu: 35 kA, I1: (0,8-1)In</v>
      </c>
      <c r="J299" t="str">
        <v>Ad</v>
      </c>
      <c r="K299" s="2">
        <v>6146.33</v>
      </c>
      <c r="L299" s="2">
        <v>668.05</v>
      </c>
      <c r="M299" s="1">
        <v>86</v>
      </c>
      <c r="N299" t="str">
        <v>elektrik</v>
      </c>
      <c r="O299" t="str">
        <v>35.110.1504 (77)</v>
      </c>
    </row>
    <row r="300" ht="90" customHeight="1" xml:space="preserve">
      <c r="A300" s="1">
        <v>289</v>
      </c>
      <c r="B300" s="1">
        <v>289</v>
      </c>
      <c r="C300" t="str" xml:space="preserve">
        <v xml:space="preserve">3x200 A'e kadar Icu: 35 kA, I1 (0,8-1) In, 3 kutuplu, 400 V AC'de en az Icu: 35 kA, Termik Koruma ayarlı, Manyetik Koruma Sabit, Kompakt tip termik ve_x000d_
manyetik koruyuculu şalterler</v>
      </c>
      <c r="D300" t="str">
        <v>adet</v>
      </c>
      <c r="E300" s="1">
        <v>15</v>
      </c>
      <c r="F300" s="2">
        <v>7778.2</v>
      </c>
      <c r="G300" s="2">
        <f>IF(F300="","",E300*F300)</f>
        <v>116673</v>
      </c>
      <c r="H300" t="str">
        <v>35.110.1105</v>
      </c>
      <c r="I300" t="str">
        <v>3 x 200 A'e kadar Icu: 35 kA, I1: (0,8-1)In</v>
      </c>
      <c r="J300" t="str">
        <v>Ad</v>
      </c>
      <c r="K300" s="2">
        <v>7778.2</v>
      </c>
      <c r="L300" s="2">
        <v>743.14</v>
      </c>
      <c r="M300" s="1">
        <v>86</v>
      </c>
      <c r="N300" t="str">
        <v>elektrik</v>
      </c>
      <c r="O300" t="str">
        <v>35.110.1506 (76)</v>
      </c>
    </row>
    <row r="301" ht="105" customHeight="1" xml:space="preserve">
      <c r="A301" s="1">
        <v>290</v>
      </c>
      <c r="B301" s="1">
        <v>290</v>
      </c>
      <c r="C301" t="str" xml:space="preserve">
        <v xml:space="preserve">3x400 A'e kadar, Icu: 35 kA, I1 (0,8-1) In, I3 (6-10) In, 3 kutuplu, 400 V AC'de en az Icu: 35 kA, Termik Koruma ayarlı, Manyetik Koruma Ayarlı, Kompakt tip termik ve manyetik koruyuculu_x000d_
şalterler</v>
      </c>
      <c r="D301" t="str">
        <v>adet</v>
      </c>
      <c r="E301" s="1">
        <v>7</v>
      </c>
      <c r="F301" s="2">
        <v>21641.86</v>
      </c>
      <c r="G301" s="2">
        <f>IF(F301="","",E301*F301)</f>
        <v>151493.02</v>
      </c>
      <c r="H301" t="str">
        <v>35.110.1151</v>
      </c>
      <c r="I301" t="str">
        <v>3 x 400 A'e kadar, Icu: 35 kA, I1: (0,8-1)In, I3: (6-10)In,</v>
      </c>
      <c r="J301" t="str">
        <v>Ad</v>
      </c>
      <c r="K301" s="2">
        <v>21641.86</v>
      </c>
      <c r="L301" s="2">
        <v>743.14</v>
      </c>
      <c r="M301" s="1">
        <v>85</v>
      </c>
      <c r="N301" t="str">
        <v>elektrik</v>
      </c>
      <c r="O301" t="str">
        <v>35.110.1152 (82)</v>
      </c>
    </row>
    <row r="302" ht="105" customHeight="1" xml:space="preserve">
      <c r="A302" s="1">
        <v>291</v>
      </c>
      <c r="B302" s="1">
        <v>291</v>
      </c>
      <c r="C302" t="str" xml:space="preserve">
        <v xml:space="preserve">3x500 A'e kadar, Icu: 35 kA, I1 (0,8-1) In, I3 (6-10) In, 3 kutuplu, 400 V AC'de en az Icu: 35 kA, Termik Koruma ayarlı, Manyetik Koruma Ayarlı, Kompakt tip termik ve manyetik koruyuculu_x000d_
şalterler</v>
      </c>
      <c r="D302" t="str">
        <v>adet</v>
      </c>
      <c r="E302" s="1">
        <v>2</v>
      </c>
      <c r="F302" s="2">
        <v>24912.46</v>
      </c>
      <c r="G302" s="2">
        <f>IF(F302="","",E302*F302)</f>
        <v>49824.92</v>
      </c>
      <c r="H302" t="str">
        <v>35.110.1152</v>
      </c>
      <c r="I302" t="str">
        <v>3 x 500 A'e kadar, Icu: 35 kA, I1: (0,8-1)In, I3: (6-10)In,</v>
      </c>
      <c r="J302" t="str">
        <v>Ad</v>
      </c>
      <c r="K302" s="2">
        <v>24912.46</v>
      </c>
      <c r="L302" s="2">
        <v>818.21</v>
      </c>
      <c r="M302" s="1">
        <v>87</v>
      </c>
      <c r="N302" t="str">
        <v>elektrik</v>
      </c>
      <c r="O302" t="str">
        <v>35.110.1552 (79)</v>
      </c>
    </row>
    <row r="303" ht="105" customHeight="1" xml:space="preserve">
      <c r="A303" s="1">
        <v>292</v>
      </c>
      <c r="B303" s="1">
        <v>292</v>
      </c>
      <c r="C303" t="str" xml:space="preserve">
        <v xml:space="preserve">3x630 A'e kadar, Icu: 50 kA, I1 (0,8-1) In, I3 (6-10) In, 3 kutuplu, 400 V AC'de en az Icu: 50 kA, Termik Koruma ayarlı, Manyetik Koruma Ayarlı, Kompakt tip termik ve manyetik koruyuculu_x000d_
şalterler</v>
      </c>
      <c r="D303" t="str">
        <v>adet</v>
      </c>
      <c r="E303" s="1">
        <v>4</v>
      </c>
      <c r="F303" s="2">
        <v>32385.06</v>
      </c>
      <c r="G303" s="2">
        <f>IF(F303="","",E303*F303)</f>
        <v>129540.24</v>
      </c>
      <c r="H303" t="str">
        <v>35.110.1253</v>
      </c>
      <c r="I303" t="str">
        <v>3 x 630A'e kadar, Icu: 50 kA, I1: (0,8-1)In, I3: (6-10)In</v>
      </c>
      <c r="J303" t="str">
        <v>Ad</v>
      </c>
      <c r="K303" s="2">
        <v>32385.06</v>
      </c>
      <c r="L303" s="2">
        <v>818.21</v>
      </c>
      <c r="M303" s="1">
        <v>87</v>
      </c>
      <c r="N303" t="str">
        <v>elektrik</v>
      </c>
      <c r="O303" t="str">
        <v>35.110.1653 (79)</v>
      </c>
    </row>
    <row r="304" ht="90" customHeight="1" xml:space="preserve">
      <c r="A304" s="1">
        <v>293</v>
      </c>
      <c r="B304" s="1">
        <v>293</v>
      </c>
      <c r="C304" t="str" xml:space="preserve">
        <v xml:space="preserve">4x160 A'e kadar Icu: 35 kA, I1 (0,8-1) In, 4 kutuplu, 400 V AC'de en az Icu: 35 kA, Termik Koruma ayarlı, Manyetik Koruma Sabit, Kompakt tip termik ve_x000d_
manyetik koruyuculu şalterler</v>
      </c>
      <c r="D304" t="str">
        <v>adet</v>
      </c>
      <c r="E304" s="1">
        <v>2</v>
      </c>
      <c r="F304" s="2">
        <v>7963.69</v>
      </c>
      <c r="G304" s="2">
        <f>IF(F304="","",E304*F304)</f>
        <v>15927.38</v>
      </c>
      <c r="H304" t="str">
        <v>35.110.1505</v>
      </c>
      <c r="I304" t="str">
        <v>4 x 160 A'e kadar Icu: 35 kA, I1: (0,8-1)In</v>
      </c>
      <c r="J304" t="str">
        <v>Ad</v>
      </c>
      <c r="K304" s="2">
        <v>7963.69</v>
      </c>
      <c r="L304" s="2">
        <v>668.05</v>
      </c>
      <c r="M304" s="1">
        <v>86</v>
      </c>
      <c r="N304" t="str">
        <v>elektrik</v>
      </c>
      <c r="O304" t="str">
        <v>35.110.1104 (77)</v>
      </c>
    </row>
    <row r="305" ht="75" customHeight="1" xml:space="preserve">
      <c r="A305" s="1">
        <v>294</v>
      </c>
      <c r="B305" s="1">
        <v>294</v>
      </c>
      <c r="C305" t="str" xml:space="preserve">
        <v xml:space="preserve">3x1600 A'e kadar Icu: 50 kA, I1: (0,5-1)In, I3: (2-10)In, elektronik korumalı, 3 kutuplu, 400V AC'de en az Icu: 50 kA, Elektronik_x000d_
Korumalı</v>
      </c>
      <c r="D305" t="str">
        <v>adet</v>
      </c>
      <c r="E305" s="1">
        <v>1</v>
      </c>
      <c r="F305" s="2">
        <v>109301.75</v>
      </c>
      <c r="G305" s="2">
        <f>IF(F305="","",E305*F305)</f>
        <v>109301.75</v>
      </c>
      <c r="H305" t="str">
        <v>35.110.5056</v>
      </c>
      <c r="I305" t="str">
        <v>3 x 1600 A e kadar Icu: 50 kA, I1: (0,5-1)In, I3: (2-10)In, elektronik korumalı</v>
      </c>
      <c r="J305" t="str">
        <v>Ad</v>
      </c>
      <c r="K305" s="2">
        <v>109301.75</v>
      </c>
      <c r="L305" s="2">
        <v>3239.45</v>
      </c>
      <c r="M305" s="1">
        <v>86</v>
      </c>
      <c r="N305" t="str">
        <v>elektrik</v>
      </c>
      <c r="O305" t="str">
        <v>35.110.1303 (85)</v>
      </c>
    </row>
    <row r="306" ht="45" customHeight="1" xml:space="preserve">
      <c r="A306" s="1">
        <v>295</v>
      </c>
      <c r="B306" s="1">
        <v>295</v>
      </c>
      <c r="C306" t="str" xml:space="preserve">
        <v xml:space="preserve">2x25 A'e kadar (30 mA), Kaçak_x000d_
akım koruma şalterleri (TS EN_x000d_
61008-1/ TS EN 61008-2-1)</v>
      </c>
      <c r="D306" t="str">
        <v>adet</v>
      </c>
      <c r="E306" s="1">
        <v>5</v>
      </c>
      <c r="F306" s="2">
        <v>1551.34</v>
      </c>
      <c r="G306" s="2">
        <f>IF(F306="","",E306*F306)</f>
        <v>7756.7</v>
      </c>
      <c r="H306" t="str">
        <v>35.115.1001</v>
      </c>
      <c r="I306" t="str">
        <v>2 x 25 A.e kadar (30 m A)</v>
      </c>
      <c r="J306" t="str">
        <v>Ad</v>
      </c>
      <c r="K306" s="2">
        <v>1551.34</v>
      </c>
      <c r="L306" s="2">
        <v>517.9</v>
      </c>
      <c r="M306" s="1">
        <v>64</v>
      </c>
      <c r="N306" t="str">
        <v>elektrik</v>
      </c>
      <c r="O306" t="str">
        <v>35.115.1602 (61)</v>
      </c>
    </row>
    <row r="307" ht="45" customHeight="1" xml:space="preserve">
      <c r="A307" s="1">
        <v>296</v>
      </c>
      <c r="B307" s="1">
        <v>296</v>
      </c>
      <c r="C307" t="str" xml:space="preserve">
        <v xml:space="preserve">4x40 A'e kadar (30 mA), Kaçak_x000d_
akım koruma şalterleri (TS EN_x000d_
61008-1/TS EN 61008-2-1)</v>
      </c>
      <c r="D307" t="str">
        <v>adet</v>
      </c>
      <c r="E307" s="1">
        <v>22</v>
      </c>
      <c r="F307" s="2">
        <v>2092.66</v>
      </c>
      <c r="G307" s="2">
        <f>IF(F307="","",E307*F307)</f>
        <v>46038.52</v>
      </c>
      <c r="H307" t="str">
        <v>35.115.1021</v>
      </c>
      <c r="I307" t="str">
        <v>4 x 40 A.e kadar (30 m A)</v>
      </c>
      <c r="J307" t="str">
        <v>Ad</v>
      </c>
      <c r="K307" s="2">
        <v>2092.66</v>
      </c>
      <c r="L307" s="2">
        <v>592.98</v>
      </c>
      <c r="M307" s="1">
        <v>63</v>
      </c>
      <c r="N307" t="str">
        <v>elektrik</v>
      </c>
      <c r="O307" t="str">
        <v>35.115.1614 (60)</v>
      </c>
    </row>
    <row r="308" ht="60" customHeight="1" xml:space="preserve">
      <c r="A308" s="1">
        <v>297</v>
      </c>
      <c r="B308" s="1">
        <v>297</v>
      </c>
      <c r="C308" t="str" xml:space="preserve">
        <v xml:space="preserve">3x80 A'den 3x250 A'e kadar (Trifaze) 30-500 mA, Toroidal Akım Trafolu Kaçak Akım_x000d_
Koruma Rölesi</v>
      </c>
      <c r="D308" t="str">
        <v>adet</v>
      </c>
      <c r="E308" s="1">
        <v>4</v>
      </c>
      <c r="F308" s="2">
        <v>20229.49</v>
      </c>
      <c r="G308" s="2">
        <f>IF(F308="","",E308*F308)</f>
        <v>80917.96</v>
      </c>
      <c r="H308" t="str">
        <v>35.115.1201</v>
      </c>
      <c r="I308" t="str">
        <v>3 x 80 A’ den 3 x 250 A. e kadar (Trifaze) 30-500 mA</v>
      </c>
      <c r="J308" t="str">
        <v>Ad</v>
      </c>
      <c r="K308" s="2">
        <v>20229.49</v>
      </c>
      <c r="L308" s="2">
        <v>893.29</v>
      </c>
      <c r="M308" s="1">
        <v>88</v>
      </c>
      <c r="N308" t="str">
        <v>elektrik</v>
      </c>
      <c r="O308" t="str">
        <v>35.115.1202 (57)</v>
      </c>
    </row>
    <row r="309" ht="60" customHeight="1" xml:space="preserve">
      <c r="A309" s="1">
        <v>298</v>
      </c>
      <c r="B309" s="1">
        <v>298</v>
      </c>
      <c r="C309" t="str" xml:space="preserve">
        <v xml:space="preserve">3x300 A'den 3x1.250 A'e kadar (Trifaze) 30-500 mA, Toroidal Akım Trafolu Kaçak Akım_x000d_
Koruma Rölesi</v>
      </c>
      <c r="D309" t="str">
        <v>adet</v>
      </c>
      <c r="E309" s="1">
        <v>5</v>
      </c>
      <c r="F309" s="2">
        <v>34978.06</v>
      </c>
      <c r="G309" s="2">
        <f>IF(F309="","",E309*F309)</f>
        <v>174890.3</v>
      </c>
      <c r="H309" t="str">
        <v>35.115.1202</v>
      </c>
      <c r="I309" t="str">
        <v>3 x 300 A’den 3 x1250 A. e kadar (Trifaze) 30-500 mA</v>
      </c>
      <c r="J309" t="str">
        <v>Ad</v>
      </c>
      <c r="K309" s="2">
        <v>34978.06</v>
      </c>
      <c r="L309" s="2">
        <v>893.29</v>
      </c>
      <c r="M309" s="1">
        <v>64</v>
      </c>
      <c r="N309" t="str">
        <v>elektrik</v>
      </c>
      <c r="O309" t="str">
        <v>35.115.1201 (63)</v>
      </c>
    </row>
    <row r="310" ht="75" customHeight="1" xml:space="preserve">
      <c r="A310" s="1">
        <v>299</v>
      </c>
      <c r="B310" s="1">
        <v>299</v>
      </c>
      <c r="C310" t="str" xml:space="preserve">
        <v xml:space="preserve">C sınıfı 230/400 V AC, 40 kA (I max, 8/20µs), üç faz, nötr, toprak, Pano tipi aşırı gerilim koruyucuları (Alçak Gerilim_x000d_
Parafudrları)</v>
      </c>
      <c r="D310" t="str">
        <v>adet</v>
      </c>
      <c r="E310" s="1">
        <v>1</v>
      </c>
      <c r="F310" s="2">
        <v>3030.86</v>
      </c>
      <c r="G310" s="2">
        <f>IF(F310="","",E310*F310)</f>
        <v>3030.86</v>
      </c>
      <c r="H310" t="str">
        <v>35.116.1214</v>
      </c>
      <c r="I310" t="str">
        <v>2P 40 kA (I max; 8/20μs)</v>
      </c>
      <c r="J310" t="str">
        <v>Ad</v>
      </c>
      <c r="K310" s="2">
        <v>3030.86</v>
      </c>
      <c r="L310" s="2">
        <v>282.24</v>
      </c>
      <c r="M310" s="1">
        <v>40</v>
      </c>
      <c r="N310" t="str">
        <v>elektrik</v>
      </c>
      <c r="O310" t="str">
        <v>35.116.1213 (38)</v>
      </c>
    </row>
    <row r="311" ht="30" customHeight="1" xml:space="preserve">
      <c r="A311" s="1">
        <v>300</v>
      </c>
      <c r="B311" s="1">
        <v>300</v>
      </c>
      <c r="C311" t="str" xml:space="preserve">
        <v xml:space="preserve">250 V'a kadar, İŞARET_x000d_
LAMBALARI</v>
      </c>
      <c r="D311" t="str">
        <v>adet</v>
      </c>
      <c r="E311" s="1">
        <v>30</v>
      </c>
      <c r="F311" s="2">
        <v>203.34</v>
      </c>
      <c r="G311" s="2">
        <f>IF(F311="","",E311*F311)</f>
        <v>6100.2</v>
      </c>
      <c r="H311" t="str">
        <v>35.120.1454</v>
      </c>
      <c r="I311" t="str">
        <v>250V.a kadar</v>
      </c>
      <c r="J311" t="str">
        <v>Ad</v>
      </c>
      <c r="K311" s="2">
        <v>203.34</v>
      </c>
      <c r="L311" s="2">
        <v>103.58</v>
      </c>
      <c r="M311" s="1">
        <v>68</v>
      </c>
      <c r="N311" t="str">
        <v>elektrik</v>
      </c>
    </row>
    <row r="312" ht="45" customHeight="1" xml:space="preserve">
      <c r="A312" s="1">
        <v>301</v>
      </c>
      <c r="B312" s="1">
        <v>301</v>
      </c>
      <c r="C312" t="str" xml:space="preserve">
        <v xml:space="preserve">15 kVAr'a kadar kompanzasyon kontaktörü (TS -3629) (TS EN_x000d_
60947-4-1)</v>
      </c>
      <c r="D312" t="str">
        <v>adet</v>
      </c>
      <c r="E312" s="1">
        <v>40</v>
      </c>
      <c r="F312" s="2">
        <v>2880.1</v>
      </c>
      <c r="G312" s="2">
        <f>IF(F312="","",E312*F312)</f>
        <v>115204</v>
      </c>
      <c r="H312" t="str">
        <v>35.125.1201</v>
      </c>
      <c r="I312" t="str">
        <v>15 kVAr'a kadar kompanzasyon kontaktörü</v>
      </c>
      <c r="J312" t="str">
        <v>Ad</v>
      </c>
      <c r="K312" s="2">
        <v>2880.1</v>
      </c>
      <c r="L312" s="2">
        <v>517.9</v>
      </c>
      <c r="M312" s="1">
        <v>74</v>
      </c>
      <c r="N312" t="str">
        <v>elektrik</v>
      </c>
      <c r="O312" t="str">
        <v>35.125.1782 (33)</v>
      </c>
    </row>
    <row r="313" ht="45" customHeight="1" xml:space="preserve">
      <c r="A313" s="1">
        <v>302</v>
      </c>
      <c r="B313" s="1">
        <v>302</v>
      </c>
      <c r="C313" t="str" xml:space="preserve">
        <v xml:space="preserve">20 kVAr'a kadar kompanzasyon_x000d_
kontaktörü (TS -3629) (TS EN 60947-4-1)</v>
      </c>
      <c r="D313" t="str">
        <v>adet</v>
      </c>
      <c r="E313" s="1">
        <v>3</v>
      </c>
      <c r="F313" s="2">
        <v>3465.75</v>
      </c>
      <c r="G313" s="2">
        <f>IF(F313="","",E313*F313)</f>
        <v>10397.25</v>
      </c>
      <c r="H313" t="str">
        <v>35.125.1202</v>
      </c>
      <c r="I313" t="str">
        <v>20 kVAr'a kadar kompanzasyon kontaktörü</v>
      </c>
      <c r="J313" t="str">
        <v>Ad</v>
      </c>
      <c r="K313" s="2">
        <v>3465.75</v>
      </c>
      <c r="L313" s="2">
        <v>517.9</v>
      </c>
      <c r="M313" s="1">
        <v>74</v>
      </c>
      <c r="N313" t="str">
        <v>elektrik</v>
      </c>
      <c r="O313" t="str">
        <v>35.125.1782 (33)</v>
      </c>
    </row>
    <row r="314" ht="15" customHeight="1">
      <c r="A314" s="1">
        <v>303</v>
      </c>
      <c r="B314" s="1">
        <v>303</v>
      </c>
      <c r="C314" t="str">
        <v>Aydınlatma kontrollünde</v>
      </c>
      <c r="D314" t="str">
        <v>adet</v>
      </c>
      <c r="E314" s="1">
        <v>1</v>
      </c>
      <c r="F314" s="2">
        <v>2921.8</v>
      </c>
      <c r="G314" s="2">
        <f>IF(F314="","",E314*F314)</f>
        <v>2921.8</v>
      </c>
      <c r="H314" t="str">
        <v>35.125.1760</v>
      </c>
      <c r="I314" t="str">
        <v>Aydınlatma kontrollünde kullanılan Zaman rölesi. ( Ölçü Ad.) Belirli gerilim sınırları dahilinde kullanılmak üzere tasarlanmış elektrikli teçhizat ile ilgili yönetmeliğe (2014/35/AB), Elektromanyetik uyumluluk yönetmeliğine (2004/108/AT), TS EN 60730-2-7 standart ve direktiflerine göre tip test raporları ve CE Uygunluk İşaretli, Ayarlanan zaman dilimine göre programı sayesinde hesaplayarak istenilen saatlerde aydınlatma kontrolünü sağlayan, çıkış kontaklarına haiz, pilli, kullanma kılavuzuna sahip dijital zaman rölesinin temini, işyerine nakli her türlü ufak malzeme dahil, test edilerek çalışır halde teslimi.</v>
      </c>
      <c r="J314" t="str">
        <v>Ad</v>
      </c>
      <c r="K314" s="2">
        <v>2921.8</v>
      </c>
      <c r="L314" s="2">
        <v>446.64</v>
      </c>
      <c r="M314" s="1">
        <v>47</v>
      </c>
      <c r="N314" t="str">
        <v>elektrik</v>
      </c>
    </row>
    <row r="315" ht="15" customHeight="1">
      <c r="C315" t="str">
        <v>kullanılan Zaman rölesi</v>
      </c>
    </row>
    <row r="316" ht="30" customHeight="1">
      <c r="A316" s="1">
        <v>304</v>
      </c>
      <c r="B316" s="1">
        <v>304</v>
      </c>
      <c r="C316" t="str">
        <v>En az 12 kademeli Reaktif Güç Kontrol Rölesi</v>
      </c>
      <c r="D316" t="str">
        <v>adet</v>
      </c>
      <c r="E316" s="1">
        <v>1</v>
      </c>
      <c r="F316" s="2">
        <v>15369.16</v>
      </c>
      <c r="G316" s="2">
        <f>IF(F316="","",E316*F316)</f>
        <v>15369.16</v>
      </c>
      <c r="H316" t="str">
        <v>35.130.2103</v>
      </c>
      <c r="I316" t="str">
        <v>En az 12 kademeli</v>
      </c>
      <c r="J316" t="str">
        <v>Ad</v>
      </c>
      <c r="K316" s="2">
        <v>15369.16</v>
      </c>
      <c r="L316" s="2">
        <v>4063.19</v>
      </c>
      <c r="M316" s="1">
        <v>67</v>
      </c>
      <c r="N316" t="str">
        <v>elektrik</v>
      </c>
      <c r="O316" t="str">
        <v>35.130.2201 (67)</v>
      </c>
    </row>
    <row r="317" ht="30" customHeight="1">
      <c r="A317" s="1">
        <v>305</v>
      </c>
      <c r="B317" s="1">
        <v>305</v>
      </c>
      <c r="C317" t="str">
        <v>En az 12 kademeli Reaktif Güç Kontrol Rölesi (SVC)</v>
      </c>
      <c r="D317" t="str">
        <v>adet</v>
      </c>
      <c r="E317" s="1">
        <v>3</v>
      </c>
      <c r="F317" s="2">
        <v>17696.73</v>
      </c>
      <c r="G317" s="2">
        <f>IF(F317="","",E317*F317)</f>
        <v>53090.19</v>
      </c>
      <c r="H317" t="str">
        <v>35.130.2301</v>
      </c>
      <c r="I317" t="str">
        <v>En az 12 kademeli</v>
      </c>
      <c r="J317" t="str">
        <v>Ad</v>
      </c>
      <c r="K317" s="2">
        <v>17696.73</v>
      </c>
      <c r="L317" s="2">
        <v>4063.19</v>
      </c>
      <c r="M317" s="1">
        <v>66</v>
      </c>
      <c r="N317" t="str">
        <v>elektrik</v>
      </c>
      <c r="O317" t="str">
        <v>35.130.2103 (60)</v>
      </c>
    </row>
    <row r="318" ht="30" customHeight="1">
      <c r="A318" s="1">
        <v>306</v>
      </c>
      <c r="B318" s="1">
        <v>306</v>
      </c>
      <c r="C318" t="str">
        <v>5 kVAr (3x8 A)'a kadar, Endüktif Yük sürücü</v>
      </c>
      <c r="D318" t="str">
        <v>adet</v>
      </c>
      <c r="E318" s="1">
        <v>3</v>
      </c>
      <c r="F318" s="2">
        <v>9618.3</v>
      </c>
      <c r="G318" s="2">
        <f>IF(F318="","",E318*F318)</f>
        <v>28854.9</v>
      </c>
      <c r="H318" t="str">
        <v>35.130.2601</v>
      </c>
      <c r="I318" t="str">
        <v>5kVAr (3x8A) .a kadar</v>
      </c>
      <c r="J318" t="str">
        <v>Ad</v>
      </c>
      <c r="K318" s="2">
        <v>9618.3</v>
      </c>
      <c r="L318" s="2">
        <v>893.29</v>
      </c>
      <c r="M318" s="1">
        <v>80</v>
      </c>
      <c r="N318" t="str">
        <v>elektrik</v>
      </c>
      <c r="O318" t="str">
        <v>35.130.2603 (35)</v>
      </c>
    </row>
    <row r="319" ht="30" customHeight="1" xml:space="preserve">
      <c r="A319" s="1">
        <v>307</v>
      </c>
      <c r="B319" s="1">
        <v>307</v>
      </c>
      <c r="C319" t="str" xml:space="preserve">
        <v xml:space="preserve">230 V, 5 kVAr'a kadar, Şönt_x000d_
Reaktör</v>
      </c>
      <c r="D319" t="str">
        <v>adet</v>
      </c>
      <c r="E319" s="1">
        <v>9</v>
      </c>
      <c r="F319" s="2">
        <v>13666.45</v>
      </c>
      <c r="G319" s="2">
        <f>IF(F319="","",E319*F319)</f>
        <v>122998.05</v>
      </c>
      <c r="H319" t="str">
        <v>35.130.2704</v>
      </c>
      <c r="I319" t="str">
        <v>230V 5 kVAr.a kadar</v>
      </c>
      <c r="J319" t="str">
        <v>Ad</v>
      </c>
      <c r="K319" s="2">
        <v>13666.45</v>
      </c>
      <c r="L319" s="2">
        <v>544.18</v>
      </c>
      <c r="M319" s="1">
        <v>79</v>
      </c>
      <c r="N319" t="str">
        <v>elektrik</v>
      </c>
      <c r="O319" t="str">
        <v>35.130.2754 (46)</v>
      </c>
    </row>
    <row r="320" ht="60" customHeight="1" xml:space="preserve">
      <c r="A320" s="1">
        <v>308</v>
      </c>
      <c r="B320" s="1">
        <v>308</v>
      </c>
      <c r="C320" t="str" xml:space="preserve">
        <v xml:space="preserve">En az 400 VAC, en az 0,5 kVAr (230 VAC'de), En az 400 VAC_x000d_
(çalışma gerilimi) 1 Fazlı_x000d_
Kondansatörler: (Ölçü: Ad.)</v>
      </c>
      <c r="D320" t="str">
        <v>adet</v>
      </c>
      <c r="E320" s="1">
        <v>12</v>
      </c>
      <c r="F320" s="2">
        <v>2465.04</v>
      </c>
      <c r="G320" s="2">
        <f>IF(F320="","",E320*F320)</f>
        <v>29580.48</v>
      </c>
      <c r="H320" t="str">
        <v>35.130.3110</v>
      </c>
      <c r="I320" t="str">
        <v>En az 400 VAC, en az 0,5 kVAr (230 VAC'de)</v>
      </c>
      <c r="J320" t="str">
        <v>Ad</v>
      </c>
      <c r="K320" s="2">
        <v>2465.04</v>
      </c>
      <c r="L320" s="2">
        <v>446.64</v>
      </c>
      <c r="M320" s="1">
        <v>87</v>
      </c>
      <c r="N320" t="str">
        <v>elektrik</v>
      </c>
      <c r="O320" t="str">
        <v>35.130.3130 (68)</v>
      </c>
    </row>
    <row r="321" ht="60" customHeight="1" xml:space="preserve">
      <c r="A321" s="1">
        <v>309</v>
      </c>
      <c r="B321" s="1">
        <v>309</v>
      </c>
      <c r="C321" t="str" xml:space="preserve">
        <v xml:space="preserve">En az 400 VAC, en az 1,5 kVAr (230 VAC'de), En az 400 VAC_x000d_
(çalışma gerilimi) 1 Fazlı_x000d_
Kondansatörler: (Ölçü: Ad.)</v>
      </c>
      <c r="D321" t="str">
        <v>adet</v>
      </c>
      <c r="E321" s="1">
        <v>12</v>
      </c>
      <c r="F321" s="2">
        <v>2676.26</v>
      </c>
      <c r="G321" s="2">
        <f>IF(F321="","",E321*F321)</f>
        <v>32115.12</v>
      </c>
      <c r="H321" t="str">
        <v>35.130.3120</v>
      </c>
      <c r="I321" t="str">
        <v>En az 400 VAC, en az 1,5 kVAr (230 VAC'de)</v>
      </c>
      <c r="J321" t="str">
        <v>Ad</v>
      </c>
      <c r="K321" s="2">
        <v>2676.26</v>
      </c>
      <c r="L321" s="2">
        <v>446.64</v>
      </c>
      <c r="M321" s="1">
        <v>87</v>
      </c>
      <c r="N321" t="str">
        <v>elektrik</v>
      </c>
      <c r="O321" t="str">
        <v>35.130.3130 (68)</v>
      </c>
    </row>
    <row r="322" ht="60" customHeight="1" xml:space="preserve">
      <c r="A322" s="1">
        <v>310</v>
      </c>
      <c r="B322" s="1">
        <v>310</v>
      </c>
      <c r="C322" t="str" xml:space="preserve">
        <v xml:space="preserve">En az 400 VAC, en az 2,5 kVAr (230 VAC'de), En az 400 VAC_x000d_
(çalışma gerilimi) 1 Fazlı_x000d_
Kondansatörler: (Ölçü: Ad.)</v>
      </c>
      <c r="D322" t="str">
        <v>adet</v>
      </c>
      <c r="E322" s="1">
        <v>12</v>
      </c>
      <c r="F322" s="2">
        <v>2924.9</v>
      </c>
      <c r="G322" s="2">
        <f>IF(F322="","",E322*F322)</f>
        <v>35098.8</v>
      </c>
      <c r="H322" t="str">
        <v>35.130.3125</v>
      </c>
      <c r="I322" t="str">
        <v>En az 400 VAC, en az 2,5 kVAr (230 VAC'de)</v>
      </c>
      <c r="J322" t="str">
        <v>Ad</v>
      </c>
      <c r="K322" s="2">
        <v>2924.9</v>
      </c>
      <c r="L322" s="2">
        <v>460.58</v>
      </c>
      <c r="M322" s="1">
        <v>87</v>
      </c>
      <c r="N322" t="str">
        <v>elektrik</v>
      </c>
      <c r="O322" t="str">
        <v>35.130.3130 (68)</v>
      </c>
    </row>
    <row r="323" ht="60" customHeight="1" xml:space="preserve">
      <c r="A323" s="1">
        <v>311</v>
      </c>
      <c r="B323" s="1">
        <v>311</v>
      </c>
      <c r="C323" t="str" xml:space="preserve">
        <v xml:space="preserve">En az 400 VAC, en az 5 kVAr (230 VAC'de), En az 400 VAC_x000d_
(çalışma gerilimi) 1 Fazlı_x000d_
Kondansatörler: (Ölçü: Ad.)</v>
      </c>
      <c r="D323" t="str">
        <v>adet</v>
      </c>
      <c r="E323" s="1">
        <v>12</v>
      </c>
      <c r="F323" s="2">
        <v>3549.04</v>
      </c>
      <c r="G323" s="2">
        <f>IF(F323="","",E323*F323)</f>
        <v>42588.48</v>
      </c>
      <c r="H323" t="str">
        <v>35.130.3130</v>
      </c>
      <c r="I323" t="str">
        <v>En az 400 VAC, en az 5 kVAr (230 VAC'de)</v>
      </c>
      <c r="J323" t="str">
        <v>Ad</v>
      </c>
      <c r="K323" s="2">
        <v>3549.04</v>
      </c>
      <c r="L323" s="2">
        <v>474.51</v>
      </c>
      <c r="M323" s="1">
        <v>86</v>
      </c>
      <c r="N323" t="str">
        <v>elektrik</v>
      </c>
      <c r="O323" t="str">
        <v>35.130.3140 (69)</v>
      </c>
    </row>
    <row r="324" ht="60" customHeight="1" xml:space="preserve">
      <c r="A324" s="1">
        <v>312</v>
      </c>
      <c r="B324" s="1">
        <v>312</v>
      </c>
      <c r="C324" t="str" xml:space="preserve">
        <v xml:space="preserve">En az 440 VAC, en az 2,5 kVAr (400 VAC'de), En az 440 VAC_x000d_
(çalışma gerilimi) 3 Fazlı_x000d_
Kondansatörler: (Ölçü: Ad.)</v>
      </c>
      <c r="D324" t="str">
        <v>adet</v>
      </c>
      <c r="E324" s="1">
        <v>4</v>
      </c>
      <c r="F324" s="2">
        <v>2360.29</v>
      </c>
      <c r="G324" s="2">
        <f>IF(F324="","",E324*F324)</f>
        <v>9441.16</v>
      </c>
      <c r="H324" t="str">
        <v>35.130.3220</v>
      </c>
      <c r="I324" t="str">
        <v>En az 440 VAC, en az 2,5 kVAr (400 VAC'de)</v>
      </c>
      <c r="J324" t="str">
        <v>Ad</v>
      </c>
      <c r="K324" s="2">
        <v>2360.29</v>
      </c>
      <c r="L324" s="2">
        <v>460.58</v>
      </c>
      <c r="M324" s="1">
        <v>87</v>
      </c>
      <c r="N324" t="str">
        <v>elektrik</v>
      </c>
      <c r="O324" t="str">
        <v>35.130.3210 (68)</v>
      </c>
    </row>
    <row r="325" ht="60" customHeight="1" xml:space="preserve">
      <c r="A325" s="1">
        <v>313</v>
      </c>
      <c r="B325" s="1">
        <v>313</v>
      </c>
      <c r="C325" t="str" xml:space="preserve">
        <v xml:space="preserve">En az 440 VAC, en az 5 kVAr (400 VAC'de), En az 440 VAC_x000d_
(çalışma gerilimi) 3 Fazlı_x000d_
Kondansatörler: (Ölçü: Ad.)</v>
      </c>
      <c r="D325" t="str">
        <v>adet</v>
      </c>
      <c r="E325" s="1">
        <v>12</v>
      </c>
      <c r="F325" s="2">
        <v>2858.9</v>
      </c>
      <c r="G325" s="2">
        <f>IF(F325="","",E325*F325)</f>
        <v>34306.8</v>
      </c>
      <c r="H325" t="str">
        <v>35.130.3225</v>
      </c>
      <c r="I325" t="str">
        <v>En az 440 VAC, en az 5 kVAr (400 VAC'de)</v>
      </c>
      <c r="J325" t="str">
        <v>Ad</v>
      </c>
      <c r="K325" s="2">
        <v>2858.9</v>
      </c>
      <c r="L325" s="2">
        <v>488.76</v>
      </c>
      <c r="M325" s="1">
        <v>86</v>
      </c>
      <c r="N325" t="str">
        <v>elektrik</v>
      </c>
      <c r="O325" t="str">
        <v>35.130.3210 (69)</v>
      </c>
    </row>
    <row r="326" ht="60" customHeight="1" xml:space="preserve">
      <c r="A326" s="1">
        <v>314</v>
      </c>
      <c r="B326" s="1">
        <v>314</v>
      </c>
      <c r="C326" t="str" xml:space="preserve">
        <v xml:space="preserve">En az 440 VAC, en az 10 kVAr (400 VAC'de), En az 440 VAC_x000d_
(çalışma gerilimi) 3 Fazlı_x000d_
Kondansatörler: (Ölçü: Ad.)</v>
      </c>
      <c r="D326" t="str">
        <v>adet</v>
      </c>
      <c r="E326" s="1">
        <v>10</v>
      </c>
      <c r="F326" s="2">
        <v>2933.26</v>
      </c>
      <c r="G326" s="2">
        <f>IF(F326="","",E326*F326)</f>
        <v>29332.6</v>
      </c>
      <c r="H326" t="str">
        <v>35.130.3235</v>
      </c>
      <c r="I326" t="str">
        <v>En az 440 VAC, en az 10 kVAr (400 VAC'de)</v>
      </c>
      <c r="J326" t="str">
        <v>Ad</v>
      </c>
      <c r="K326" s="2">
        <v>2933.26</v>
      </c>
      <c r="L326" s="2">
        <v>502.69</v>
      </c>
      <c r="M326" s="1">
        <v>86</v>
      </c>
      <c r="N326" t="str">
        <v>elektrik</v>
      </c>
      <c r="O326" t="str">
        <v>35.130.3210 (69)</v>
      </c>
    </row>
    <row r="327" ht="60" customHeight="1" xml:space="preserve">
      <c r="A327" s="1">
        <v>315</v>
      </c>
      <c r="B327" s="1">
        <v>315</v>
      </c>
      <c r="C327" t="str" xml:space="preserve">
        <v xml:space="preserve">En az 440 VAC, en az 15 kVAr (400 VAC'de), En az 440 VAC_x000d_
(çalışma gerilimi) 3 Fazlı_x000d_
Kondansatörler: (Ölçü: Ad.)</v>
      </c>
      <c r="D327" t="str">
        <v>adet</v>
      </c>
      <c r="E327" s="1">
        <v>4</v>
      </c>
      <c r="F327" s="2">
        <v>3020.84</v>
      </c>
      <c r="G327" s="2">
        <f>IF(F327="","",E327*F327)</f>
        <v>12083.36</v>
      </c>
      <c r="H327" t="str">
        <v>35.130.3245</v>
      </c>
      <c r="I327" t="str">
        <v>En az 440 VAC, en az 15 kVAr (400 VAC'de)</v>
      </c>
      <c r="J327" t="str">
        <v>Ad</v>
      </c>
      <c r="K327" s="2">
        <v>3020.84</v>
      </c>
      <c r="L327" s="2">
        <v>531.19</v>
      </c>
      <c r="M327" s="1">
        <v>87</v>
      </c>
      <c r="N327" t="str">
        <v>elektrik</v>
      </c>
      <c r="O327" t="str">
        <v>35.130.3210 (69)</v>
      </c>
    </row>
    <row r="328" ht="60" customHeight="1" xml:space="preserve">
      <c r="A328" s="1">
        <v>316</v>
      </c>
      <c r="B328" s="1">
        <v>316</v>
      </c>
      <c r="C328" t="str" xml:space="preserve">
        <v xml:space="preserve">En az 440 VAC, en az 20 kVAr (400 VAC'de), En az 440 VAC_x000d_
(çalışma gerilimi) 3 Fazlı_x000d_
Kondansatörler: (Ölçü: Ad.)</v>
      </c>
      <c r="D328" t="str">
        <v>adet</v>
      </c>
      <c r="E328" s="1">
        <v>3</v>
      </c>
      <c r="F328" s="2">
        <v>3121.05</v>
      </c>
      <c r="G328" s="2">
        <f>IF(F328="","",E328*F328)</f>
        <v>9363.15</v>
      </c>
      <c r="H328" t="str">
        <v>35.130.3250</v>
      </c>
      <c r="I328" t="str">
        <v>En az 440 VAC, en az 20 kVAr (400 VAC'de)</v>
      </c>
      <c r="J328" t="str">
        <v>Ad</v>
      </c>
      <c r="K328" s="2">
        <v>3121.05</v>
      </c>
      <c r="L328" s="2">
        <v>545.13</v>
      </c>
      <c r="M328" s="1">
        <v>87</v>
      </c>
      <c r="N328" t="str">
        <v>elektrik</v>
      </c>
      <c r="O328" t="str">
        <v>35.130.3210 (69)</v>
      </c>
    </row>
    <row r="329" ht="105" customHeight="1" xml:space="preserve">
      <c r="A329" s="1">
        <v>317</v>
      </c>
      <c r="B329" s="1">
        <v>317</v>
      </c>
      <c r="C329" t="str" xml:space="preserve">
        <v xml:space="preserve">100-500/5 A, Ölçü Akım Trafosu_x000d_
(1 kV 5-10 VA, Sn: 0,5-1) (TS-_x000d_
620 EN 60044-1) Baralı veya barasız tipte, kullanılacak ölçü aletleri ile aynı nitelikte, gücü 5- 10 VA, sınıf: 0,5-1, ölçü akım_x000d_
trafosu temin ve montajı</v>
      </c>
      <c r="D329" t="str">
        <v>adet</v>
      </c>
      <c r="E329" s="1">
        <v>9</v>
      </c>
      <c r="F329" s="2">
        <v>940.8</v>
      </c>
      <c r="G329" s="2">
        <f>IF(F329="","",E329*F329)</f>
        <v>8467.2</v>
      </c>
      <c r="H329" t="str">
        <v>35.135.1901</v>
      </c>
      <c r="I329" t="str">
        <v>100 - 500/5 A.</v>
      </c>
      <c r="J329" t="str">
        <v>Ad</v>
      </c>
      <c r="K329" s="2">
        <v>940.8</v>
      </c>
      <c r="L329" s="2">
        <v>357.31</v>
      </c>
      <c r="M329" s="1">
        <v>78</v>
      </c>
      <c r="N329" t="str">
        <v>elektrik</v>
      </c>
      <c r="O329" t="str">
        <v>35.135.1902 (57)</v>
      </c>
    </row>
    <row r="330" ht="15" customHeight="1">
      <c r="A330" s="1">
        <v>318</v>
      </c>
      <c r="B330" s="1">
        <v>318</v>
      </c>
      <c r="C330" t="str">
        <v>501-2000/5 A, Ölçü Akım</v>
      </c>
      <c r="D330" t="str">
        <v>adet</v>
      </c>
      <c r="E330" s="1">
        <v>9</v>
      </c>
      <c r="F330" s="2">
        <v>1639.25</v>
      </c>
      <c r="G330" s="2">
        <f>IF(F330="","",E330*F330)</f>
        <v>14753.25</v>
      </c>
      <c r="H330" t="str">
        <v>35.135.1902</v>
      </c>
      <c r="I330" t="str">
        <v>501 - 2000/5 A.</v>
      </c>
      <c r="J330" t="str">
        <v>Ad</v>
      </c>
      <c r="K330" s="2">
        <v>1639.25</v>
      </c>
      <c r="L330" s="2">
        <v>357.31</v>
      </c>
      <c r="M330" s="1">
        <v>61</v>
      </c>
      <c r="N330" t="str">
        <v>elektrik</v>
      </c>
      <c r="O330" t="str">
        <v>35.300.2160 (30)</v>
      </c>
    </row>
    <row r="331" ht="90" customHeight="1" xml:space="preserve">
      <c r="C331" t="str" xml:space="preserve">
        <v xml:space="preserve">Trafosu (1 kV 5-10 VA, Sn: 0,5-_x000d_
1) (TS-620 EN 60044-1) Baralı_x000d_
veya barasız tipte, kullanılacak ölçü aletleri ile aynı nitelikte, gücü 5-10 VA, sınıf: 0,5-1, ölçü_x000d_
akım trafosu temin ve montajı</v>
      </c>
    </row>
    <row r="332" ht="90" customHeight="1" xml:space="preserve">
      <c r="A332" s="1">
        <v>319</v>
      </c>
      <c r="B332" s="1">
        <v>319</v>
      </c>
      <c r="C332" t="str" xml:space="preserve">
        <v xml:space="preserve">Topraklama hattı-16 mm² Çıplak örgülü veya dolu bakır tel, Borusuz olarak serbest konsol, kroşe üzerine döşenen topraklama_x000d_
hatları her nevi malzeme temini ve işçilik dahil</v>
      </c>
      <c r="D332" t="str">
        <v>metre</v>
      </c>
      <c r="E332" s="1">
        <v>200</v>
      </c>
      <c r="F332" s="2">
        <v>180.03</v>
      </c>
      <c r="G332" s="2">
        <f>IF(F332="","",E332*F332)</f>
        <v>36006</v>
      </c>
      <c r="H332" t="str">
        <v>35.140.1304</v>
      </c>
      <c r="I332" t="str">
        <v>16 mm2 Çıplak örgülü veya dolu bakır tel</v>
      </c>
      <c r="J332" t="str">
        <v>m</v>
      </c>
      <c r="K332" s="2">
        <v>180.03</v>
      </c>
      <c r="L332" s="2">
        <v>62.98</v>
      </c>
      <c r="M332" s="1">
        <v>75</v>
      </c>
      <c r="N332" t="str">
        <v>elektrik</v>
      </c>
      <c r="O332" t="str">
        <v>35.140.1104 (48)</v>
      </c>
    </row>
    <row r="333" ht="90" customHeight="1" xml:space="preserve">
      <c r="A333" s="1">
        <v>320</v>
      </c>
      <c r="B333" s="1">
        <v>320</v>
      </c>
      <c r="C333" t="str" xml:space="preserve">
        <v xml:space="preserve">Topraklama hattı-25 mm² Çıplak örgülü veya dolu bakır tel, Borusuz olarak serbest konsol, kroşe üzerine döşenen topraklama hatları her nevi malzeme temini_x000d_
ve işçilik dahil</v>
      </c>
      <c r="D333" t="str">
        <v>metre</v>
      </c>
      <c r="E333" s="1">
        <v>80</v>
      </c>
      <c r="F333" s="2">
        <v>260.89</v>
      </c>
      <c r="G333" s="2">
        <f>IF(F333="","",E333*F333)</f>
        <v>20871.2</v>
      </c>
      <c r="H333" t="str">
        <v>35.140.1305</v>
      </c>
      <c r="I333" t="str">
        <v>25 mm2 Çıplak örgülü veya dolu bakır tel</v>
      </c>
      <c r="J333" t="str">
        <v>m</v>
      </c>
      <c r="K333" s="2">
        <v>260.89</v>
      </c>
      <c r="L333" s="2">
        <v>73.34</v>
      </c>
      <c r="M333" s="1">
        <v>75</v>
      </c>
      <c r="N333" t="str">
        <v>elektrik</v>
      </c>
      <c r="O333" t="str">
        <v>35.140.1105 (48)</v>
      </c>
    </row>
    <row r="334" ht="90" customHeight="1" xml:space="preserve">
      <c r="A334" s="1">
        <v>321</v>
      </c>
      <c r="B334" s="1">
        <v>321</v>
      </c>
      <c r="C334" t="str" xml:space="preserve">
        <v xml:space="preserve">Topraklama hattı-70 mm² Çıplak örgülü veya dolu bakır tel, Borusuz olarak serbest konsol, kroşe üzerine döşenen topraklama_x000d_
hatları her nevi malzeme temini ve işçilik dahil</v>
      </c>
      <c r="D334" t="str">
        <v>metre</v>
      </c>
      <c r="E334" s="1">
        <v>500</v>
      </c>
      <c r="F334" s="2">
        <v>590.38</v>
      </c>
      <c r="G334" s="2">
        <f>IF(F334="","",E334*F334)</f>
        <v>295190</v>
      </c>
      <c r="H334" t="str">
        <v>35.140.1308</v>
      </c>
      <c r="I334" t="str">
        <v>70 mm2 Çıplak örgülü veya dolu bakır tel</v>
      </c>
      <c r="J334" t="str">
        <v>m</v>
      </c>
      <c r="K334" s="2">
        <v>590.38</v>
      </c>
      <c r="L334" s="2">
        <v>88.01</v>
      </c>
      <c r="M334" s="1">
        <v>75</v>
      </c>
      <c r="N334" t="str">
        <v>elektrik</v>
      </c>
      <c r="O334" t="str">
        <v>35.140.1208 (45)</v>
      </c>
    </row>
    <row r="335" ht="45" customHeight="1" xml:space="preserve">
      <c r="A335" s="1">
        <v>322</v>
      </c>
      <c r="B335" s="1">
        <v>322</v>
      </c>
      <c r="C335" t="str" xml:space="preserve">
        <v xml:space="preserve">3x2.5 mm², FVV-n, TS 936'ya uygun, FVV-FVVn, NYMHY_x000d_
(FD) İletkenler (Kablo Fiyatı)</v>
      </c>
      <c r="D335" t="str">
        <v>metre</v>
      </c>
      <c r="E335" s="4">
        <v>1000</v>
      </c>
      <c r="F335" s="2">
        <v>149.94</v>
      </c>
      <c r="G335" s="2">
        <f>IF(F335="","",E335*F335)</f>
        <v>149940</v>
      </c>
      <c r="H335" t="str">
        <v>35.140.2626</v>
      </c>
      <c r="I335" t="str">
        <v>3 x 2.5 mm2 FVV-n</v>
      </c>
      <c r="J335" t="str">
        <v>mt</v>
      </c>
      <c r="K335" s="2">
        <v>149.94</v>
      </c>
      <c r="L335" s="2">
        <v>73.34</v>
      </c>
      <c r="M335" s="1">
        <v>42</v>
      </c>
      <c r="N335" t="str">
        <v>elektrik</v>
      </c>
      <c r="O335" t="str">
        <v>35.140.2625 (31)</v>
      </c>
    </row>
    <row r="336" ht="60" customHeight="1" xml:space="preserve">
      <c r="A336" s="1">
        <v>323</v>
      </c>
      <c r="B336" s="1">
        <v>323</v>
      </c>
      <c r="C336" t="str" xml:space="preserve">
        <v xml:space="preserve">3x35+16 mm², 1 kV yeraltı kabloları ile kolon ve besleme hattı tesisi YVV (NYY) (TS IEC_x000d_
60502-1+A1)</v>
      </c>
      <c r="D336" t="str">
        <v>metre</v>
      </c>
      <c r="E336" s="1">
        <v>40</v>
      </c>
      <c r="F336" s="2">
        <v>1270.5</v>
      </c>
      <c r="G336" s="2">
        <f>IF(F336="","",E336*F336)</f>
        <v>50820</v>
      </c>
      <c r="H336" t="str">
        <v>35.140.3191</v>
      </c>
      <c r="I336" t="str">
        <v>3 x 35 + 16 mm2</v>
      </c>
      <c r="J336" t="str">
        <v>m</v>
      </c>
      <c r="K336" s="2">
        <v>1270.5</v>
      </c>
      <c r="L336" s="2">
        <v>146.68</v>
      </c>
      <c r="M336" s="1">
        <v>62</v>
      </c>
      <c r="N336" t="str">
        <v>elektrik</v>
      </c>
      <c r="O336" t="str">
        <v>35.140.3165 (52)</v>
      </c>
    </row>
    <row r="337" ht="60" customHeight="1" xml:space="preserve">
      <c r="A337" s="1">
        <v>324</v>
      </c>
      <c r="B337" s="1">
        <v>324</v>
      </c>
      <c r="C337" t="str" xml:space="preserve">
        <v xml:space="preserve">4x2,5 mm², 1 kV yeraltı kabloları ile kolon ve besleme hattı tesisi_x000d_
YVV (NYY) (TS IEC 60502- 1+A1)</v>
      </c>
      <c r="D337" t="str">
        <v>metre</v>
      </c>
      <c r="E337" s="1">
        <v>500</v>
      </c>
      <c r="F337" s="2">
        <v>142.95</v>
      </c>
      <c r="G337" s="2">
        <f>IF(F337="","",E337*F337)</f>
        <v>71475</v>
      </c>
      <c r="H337" t="str">
        <v>35.140.3131</v>
      </c>
      <c r="I337" t="str">
        <v>2 x 2,5 mm2</v>
      </c>
      <c r="J337" t="str">
        <v>m</v>
      </c>
      <c r="K337" s="2">
        <v>142.95</v>
      </c>
      <c r="L337" s="2">
        <v>83.7</v>
      </c>
      <c r="M337" s="1">
        <v>48</v>
      </c>
      <c r="N337" t="str">
        <v>elektrik</v>
      </c>
      <c r="O337" t="str">
        <v>35.140.3161 (48)</v>
      </c>
    </row>
    <row r="338" ht="60" customHeight="1" xml:space="preserve">
      <c r="A338" s="1">
        <v>325</v>
      </c>
      <c r="B338" s="1">
        <v>325</v>
      </c>
      <c r="C338" t="str" xml:space="preserve">
        <v xml:space="preserve">14x1,5 mm², 1 kV yeraltı kabloları ile kolon ve besleme hattı tesisi YVV (NYY) (TS IEC_x000d_
60502-1+A1)</v>
      </c>
      <c r="D338" t="str">
        <v>metre</v>
      </c>
      <c r="E338" s="1">
        <v>150</v>
      </c>
      <c r="F338" s="2">
        <v>118.3</v>
      </c>
      <c r="G338" s="2">
        <f>IF(F338="","",E338*F338)</f>
        <v>17745</v>
      </c>
      <c r="H338" t="str">
        <v>35.140.3130</v>
      </c>
      <c r="I338" t="str">
        <v>2 x 1,5 mm2</v>
      </c>
      <c r="J338" t="str">
        <v>m</v>
      </c>
      <c r="K338" s="2">
        <v>118.3</v>
      </c>
      <c r="L338" s="2">
        <v>77.65</v>
      </c>
      <c r="M338" s="1">
        <v>47</v>
      </c>
      <c r="N338" t="str">
        <v>elektrik</v>
      </c>
      <c r="O338" t="str">
        <v>35.140.3160 (47)</v>
      </c>
    </row>
    <row r="339" ht="75" customHeight="1" xml:space="preserve">
      <c r="A339" s="1">
        <v>326</v>
      </c>
      <c r="B339" s="1">
        <v>326</v>
      </c>
      <c r="C339" t="str" xml:space="preserve">
        <v xml:space="preserve">3x95 sç/50 sç mm², TS 1178 IEC 60502'ye uygun alüminyum iletkenli 1 kV yeraltı kabloları ile kolon ve besleme hattı tesisi_x000d_
YAVV (NAYY)</v>
      </c>
      <c r="D339" t="str">
        <v>metre</v>
      </c>
      <c r="E339" s="1">
        <v>150</v>
      </c>
      <c r="F339" s="2">
        <v>603.88</v>
      </c>
      <c r="G339" s="2">
        <f>IF(F339="","",E339*F339)</f>
        <v>90582</v>
      </c>
      <c r="H339" t="str">
        <v>35.140.5105</v>
      </c>
      <c r="I339" t="str">
        <v>3 x 95 sç/ 50 sç mm2</v>
      </c>
      <c r="J339" t="str">
        <v>m</v>
      </c>
      <c r="K339" s="2">
        <v>603.88</v>
      </c>
      <c r="L339" s="2">
        <v>205.34</v>
      </c>
      <c r="M339" s="1">
        <v>62</v>
      </c>
      <c r="N339" t="str">
        <v>elektrik</v>
      </c>
      <c r="O339" t="str">
        <v>35.140.5206 (51)</v>
      </c>
    </row>
    <row r="340" ht="60" customHeight="1" xml:space="preserve">
      <c r="A340" s="1">
        <v>327</v>
      </c>
      <c r="B340" s="1">
        <v>327</v>
      </c>
      <c r="C340" t="str" xml:space="preserve">
        <v xml:space="preserve">3x2.5 mm², Kurşunsuz PVC izoleli kablolar ile besleme hattı tesisi (NHXMH, en az 300/500_x000d_
V)</v>
      </c>
      <c r="D340" t="str">
        <v>metre</v>
      </c>
      <c r="E340" s="4">
        <v>4000</v>
      </c>
      <c r="F340" s="2">
        <v>155.99</v>
      </c>
      <c r="G340" s="2">
        <f>IF(F340="","",E340*F340)</f>
        <v>623960</v>
      </c>
      <c r="H340" t="str">
        <v>35.150.1531</v>
      </c>
      <c r="I340" t="str">
        <v>3x2.5 mm2</v>
      </c>
      <c r="J340" t="str">
        <v>m</v>
      </c>
      <c r="K340" s="2">
        <v>155.99</v>
      </c>
      <c r="L340" s="2">
        <v>73.34</v>
      </c>
      <c r="M340" s="1">
        <v>38</v>
      </c>
      <c r="N340" t="str">
        <v>elektrik</v>
      </c>
      <c r="O340" t="str">
        <v>35.153.2010 (37)</v>
      </c>
    </row>
    <row r="341" ht="60" customHeight="1" xml:space="preserve">
      <c r="A341" s="1">
        <v>328</v>
      </c>
      <c r="B341" s="1">
        <v>328</v>
      </c>
      <c r="C341" t="str" xml:space="preserve">
        <v xml:space="preserve">5x2,5 mm², Kurşunsuz PVC izoleli kablolar ile besleme hattı tesisi (NHXMH, en az 300/500_x000d_
V)</v>
      </c>
      <c r="D341" t="str">
        <v>metre</v>
      </c>
      <c r="E341" s="1">
        <v>300</v>
      </c>
      <c r="F341" s="2">
        <v>215.91</v>
      </c>
      <c r="G341" s="2">
        <f>IF(F341="","",E341*F341)</f>
        <v>64773</v>
      </c>
      <c r="H341" t="str">
        <v>35.140.2532</v>
      </c>
      <c r="I341" t="str">
        <v>5 x 2,5 mm2</v>
      </c>
      <c r="J341" t="str">
        <v>m</v>
      </c>
      <c r="K341" s="2">
        <v>215.91</v>
      </c>
      <c r="L341" s="2">
        <v>88.01</v>
      </c>
      <c r="M341" s="1">
        <v>45</v>
      </c>
      <c r="N341" t="str">
        <v>elektrik</v>
      </c>
      <c r="O341" t="str">
        <v>35.140.2502 (34)</v>
      </c>
    </row>
    <row r="342" ht="15" customHeight="1">
      <c r="A342" s="1">
        <v>329</v>
      </c>
      <c r="B342" s="1">
        <v>329</v>
      </c>
      <c r="C342" t="str">
        <v>5x6 mm², Kurşunsuz PVC izoleli</v>
      </c>
      <c r="D342" t="str">
        <v>metre</v>
      </c>
      <c r="E342" s="1">
        <v>100</v>
      </c>
      <c r="F342" s="2">
        <v>385.6</v>
      </c>
      <c r="G342" s="2">
        <f>IF(F342="","",E342*F342)</f>
        <v>38560</v>
      </c>
      <c r="H342" t="str">
        <v>35.140.2534</v>
      </c>
      <c r="I342" t="str">
        <v>5 x 6 mm2</v>
      </c>
      <c r="J342" t="str">
        <v>m</v>
      </c>
      <c r="K342" s="2">
        <v>385.6</v>
      </c>
      <c r="L342" s="2">
        <v>98.36</v>
      </c>
      <c r="M342" s="1">
        <v>55</v>
      </c>
      <c r="N342" t="str">
        <v>elektrik</v>
      </c>
      <c r="O342" t="str">
        <v>35.140.2504 (33)</v>
      </c>
    </row>
    <row r="343" ht="30" customHeight="1" xml:space="preserve">
      <c r="C343" t="str" xml:space="preserve">
        <v xml:space="preserve">kablolar ile besleme hattı tesisi_x000d_
(NHXMH, en az 300/500 V)</v>
      </c>
    </row>
    <row r="344" ht="60" customHeight="1" xml:space="preserve">
      <c r="A344" s="1">
        <v>330</v>
      </c>
      <c r="B344" s="1">
        <v>330</v>
      </c>
      <c r="C344" t="str" xml:space="preserve">
        <v xml:space="preserve">5x10 mm², Kurşunsuz PVC izoleli kablolar ile besleme hattı tesisi (NHXMH, en az 300/500_x000d_
V)</v>
      </c>
      <c r="D344" t="str">
        <v>metre</v>
      </c>
      <c r="E344" s="1">
        <v>180</v>
      </c>
      <c r="F344" s="2">
        <v>612.64</v>
      </c>
      <c r="G344" s="2">
        <f>IF(F344="","",E344*F344)</f>
        <v>110275.2</v>
      </c>
      <c r="H344" t="str">
        <v>35.140.2535</v>
      </c>
      <c r="I344" t="str">
        <v>5 x 10 mm2</v>
      </c>
      <c r="J344" t="str">
        <v>m</v>
      </c>
      <c r="K344" s="2">
        <v>612.64</v>
      </c>
      <c r="L344" s="2">
        <v>117.35</v>
      </c>
      <c r="M344" s="1">
        <v>44</v>
      </c>
      <c r="N344" t="str">
        <v>elektrik</v>
      </c>
      <c r="O344" t="str">
        <v>35.140.2505 (34)</v>
      </c>
    </row>
    <row r="345" ht="60" customHeight="1" xml:space="preserve">
      <c r="A345" s="1">
        <v>331</v>
      </c>
      <c r="B345" s="1">
        <v>331</v>
      </c>
      <c r="C345" t="str" xml:space="preserve">
        <v xml:space="preserve">5x16 mm², Kurşunsuz PVC izoleli kablolar ile besleme hattı tesisi (NHXMH, en az 300/500_x000d_
V)</v>
      </c>
      <c r="D345" t="str">
        <v>metre</v>
      </c>
      <c r="E345" s="1">
        <v>60</v>
      </c>
      <c r="F345" s="2">
        <v>899.36</v>
      </c>
      <c r="G345" s="2">
        <f>IF(F345="","",E345*F345)</f>
        <v>53961.6</v>
      </c>
      <c r="H345" t="str">
        <v>35.140.2536</v>
      </c>
      <c r="I345" t="str">
        <v>5 x 16 mm2</v>
      </c>
      <c r="J345" t="str">
        <v>m</v>
      </c>
      <c r="K345" s="2">
        <v>899.36</v>
      </c>
      <c r="L345" s="2">
        <v>132</v>
      </c>
      <c r="M345" s="1">
        <v>44</v>
      </c>
      <c r="N345" t="str">
        <v>elektrik</v>
      </c>
      <c r="O345" t="str">
        <v>35.140.2506 (34)</v>
      </c>
    </row>
    <row r="346" ht="45" customHeight="1" xml:space="preserve">
      <c r="A346" s="1">
        <v>332</v>
      </c>
      <c r="B346" s="1">
        <v>332</v>
      </c>
      <c r="C346" t="str" xml:space="preserve">
        <v xml:space="preserve">1x70 mm², 1 kV yer altı kabloları ile kolon ve besleme hattı tesisi_x000d_
(N2XH, 0,6/1 kV)</v>
      </c>
      <c r="D346" t="str">
        <v>metre</v>
      </c>
      <c r="E346" s="1">
        <v>50</v>
      </c>
      <c r="F346" s="2">
        <v>723.06</v>
      </c>
      <c r="G346" s="2">
        <f>IF(F346="","",E346*F346)</f>
        <v>36153</v>
      </c>
      <c r="H346" t="str">
        <v>35.150.2107</v>
      </c>
      <c r="I346" t="str">
        <v>1x70 mm2</v>
      </c>
      <c r="J346" t="str">
        <v>m</v>
      </c>
      <c r="K346" s="2">
        <v>723.06</v>
      </c>
      <c r="L346" s="2">
        <v>98.36</v>
      </c>
      <c r="M346" s="1">
        <v>62</v>
      </c>
      <c r="N346" t="str">
        <v>elektrik</v>
      </c>
      <c r="O346" t="str">
        <v>35.150.2199 (61)</v>
      </c>
    </row>
    <row r="347" ht="45" customHeight="1" xml:space="preserve">
      <c r="A347" s="1">
        <v>333</v>
      </c>
      <c r="B347" s="1">
        <v>333</v>
      </c>
      <c r="C347" t="str" xml:space="preserve">
        <v xml:space="preserve">1x120 mm², 1 kV yer altı kabloları ile kolon ve besleme_x000d_
hattı tesisi (N2XH, 0,6/1 kV)</v>
      </c>
      <c r="D347" t="str">
        <v>metre</v>
      </c>
      <c r="E347" s="1">
        <v>150</v>
      </c>
      <c r="F347" s="2">
        <v>1201.69</v>
      </c>
      <c r="G347" s="2">
        <f>IF(F347="","",E347*F347)</f>
        <v>180253.5</v>
      </c>
      <c r="H347" t="str">
        <v>35.150.2109</v>
      </c>
      <c r="I347" t="str">
        <v>1x120 mm2</v>
      </c>
      <c r="J347" t="str">
        <v>m</v>
      </c>
      <c r="K347" s="2">
        <v>1201.69</v>
      </c>
      <c r="L347" s="2">
        <v>117.35</v>
      </c>
      <c r="M347" s="1">
        <v>62</v>
      </c>
      <c r="N347" t="str">
        <v>elektrik</v>
      </c>
      <c r="O347" t="str">
        <v>35.150.2175 (60)</v>
      </c>
    </row>
    <row r="348" ht="45" customHeight="1" xml:space="preserve">
      <c r="A348" s="1">
        <v>334</v>
      </c>
      <c r="B348" s="1">
        <v>334</v>
      </c>
      <c r="C348" t="str" xml:space="preserve">
        <v xml:space="preserve">1x185 mm², 1 kV yer altı kabloları ile kolon ve besleme_x000d_
hattı tesisi (N2XH, 0,6/1 kV)</v>
      </c>
      <c r="D348" t="str">
        <v>metre</v>
      </c>
      <c r="E348" s="1">
        <v>200</v>
      </c>
      <c r="F348" s="2">
        <v>1783.23</v>
      </c>
      <c r="G348" s="2">
        <f>IF(F348="","",E348*F348)</f>
        <v>356646</v>
      </c>
      <c r="H348" t="str">
        <v>35.150.2111</v>
      </c>
      <c r="I348" t="str">
        <v>1x185 mm2</v>
      </c>
      <c r="J348" t="str">
        <v>m</v>
      </c>
      <c r="K348" s="2">
        <v>1783.23</v>
      </c>
      <c r="L348" s="2">
        <v>132</v>
      </c>
      <c r="M348" s="1">
        <v>62</v>
      </c>
      <c r="N348" t="str">
        <v>elektrik</v>
      </c>
      <c r="O348" t="str">
        <v>35.150.2177 (60)</v>
      </c>
    </row>
    <row r="349" ht="45" customHeight="1" xml:space="preserve">
      <c r="A349" s="1">
        <v>335</v>
      </c>
      <c r="B349" s="1">
        <v>335</v>
      </c>
      <c r="C349" t="str" xml:space="preserve">
        <v xml:space="preserve">3x25+16 mm², 1 kV yer altı_x000d_
kabloları ile kolon ve besleme hattı tesisi (N2XH, 0,6/1 kV)</v>
      </c>
      <c r="D349" t="str">
        <v>metre</v>
      </c>
      <c r="E349" s="1">
        <v>120</v>
      </c>
      <c r="F349" s="2">
        <v>1013</v>
      </c>
      <c r="G349" s="2">
        <f>IF(F349="","",E349*F349)</f>
        <v>121560</v>
      </c>
      <c r="H349" t="str">
        <v>35.150.2170</v>
      </c>
      <c r="I349" t="str">
        <v>3x25+16 mm2</v>
      </c>
      <c r="J349" t="str">
        <v>m</v>
      </c>
      <c r="K349" s="2">
        <v>1013</v>
      </c>
      <c r="L349" s="2">
        <v>132</v>
      </c>
      <c r="M349" s="1">
        <v>69</v>
      </c>
      <c r="N349" t="str">
        <v>elektrik</v>
      </c>
      <c r="O349" t="str">
        <v>35.153.3031 (66)</v>
      </c>
    </row>
    <row r="350" ht="45" customHeight="1" xml:space="preserve">
      <c r="A350" s="1">
        <v>336</v>
      </c>
      <c r="B350" s="1">
        <v>336</v>
      </c>
      <c r="C350" t="str" xml:space="preserve">
        <v xml:space="preserve">3x35+16 mm², 1 kV yer altı kabloları ile kolon ve besleme_x000d_
hattı tesisi (N2XH, 0,6/1 kV)</v>
      </c>
      <c r="D350" t="str">
        <v>metre</v>
      </c>
      <c r="E350" s="1">
        <v>50</v>
      </c>
      <c r="F350" s="2">
        <v>1290.34</v>
      </c>
      <c r="G350" s="2">
        <f>IF(F350="","",E350*F350)</f>
        <v>64517</v>
      </c>
      <c r="H350" t="str">
        <v>35.150.2171</v>
      </c>
      <c r="I350" t="str">
        <v>3x35+16 mm2</v>
      </c>
      <c r="J350" t="str">
        <v>m</v>
      </c>
      <c r="K350" s="2">
        <v>1290.34</v>
      </c>
      <c r="L350" s="2">
        <v>146.68</v>
      </c>
      <c r="M350" s="1">
        <v>69</v>
      </c>
      <c r="N350" t="str">
        <v>elektrik</v>
      </c>
      <c r="O350" t="str">
        <v>35.153.3032 (66)</v>
      </c>
    </row>
    <row r="351" ht="45" customHeight="1" xml:space="preserve">
      <c r="A351" s="1">
        <v>337</v>
      </c>
      <c r="B351" s="1">
        <v>337</v>
      </c>
      <c r="C351" t="str" xml:space="preserve">
        <v xml:space="preserve">3x50+25 mm², 1 kV yer altı_x000d_
kabloları ile kolon ve besleme hattı tesisi (N2XH, 0,6/1 kV)</v>
      </c>
      <c r="D351" t="str">
        <v>metre</v>
      </c>
      <c r="E351" s="1">
        <v>40</v>
      </c>
      <c r="F351" s="2">
        <v>1750.44</v>
      </c>
      <c r="G351" s="2">
        <f>IF(F351="","",E351*F351)</f>
        <v>70017.6</v>
      </c>
      <c r="H351" t="str">
        <v>35.150.2172</v>
      </c>
      <c r="I351" t="str">
        <v>3x50+25 mm2</v>
      </c>
      <c r="J351" t="str">
        <v>m</v>
      </c>
      <c r="K351" s="2">
        <v>1750.44</v>
      </c>
      <c r="L351" s="2">
        <v>161.35</v>
      </c>
      <c r="M351" s="1">
        <v>69</v>
      </c>
      <c r="N351" t="str">
        <v>elektrik</v>
      </c>
      <c r="O351" t="str">
        <v>35.153.3033 (66)</v>
      </c>
    </row>
    <row r="352" ht="45" customHeight="1">
      <c r="A352" s="1">
        <v>338</v>
      </c>
      <c r="B352" s="1">
        <v>338</v>
      </c>
      <c r="C352" t="str">
        <v>5x6 mm², 1 kV yer altı kabloları ile kolon ve besleme hattı tesisi (N2XH, 0,6/1 kV)</v>
      </c>
      <c r="D352" t="str">
        <v>metre</v>
      </c>
      <c r="E352" s="4">
        <v>1200</v>
      </c>
      <c r="F352" s="2">
        <v>404.3</v>
      </c>
      <c r="G352" s="2">
        <f>IF(F352="","",E352*F352)</f>
        <v>485160</v>
      </c>
      <c r="H352" t="str">
        <v>35.153.3058</v>
      </c>
      <c r="I352" t="str">
        <v>5x6 mm2</v>
      </c>
      <c r="J352" t="str">
        <v>m</v>
      </c>
      <c r="K352" s="2">
        <v>404.3</v>
      </c>
      <c r="L352" s="2">
        <v>98.36</v>
      </c>
      <c r="M352" s="1">
        <v>63</v>
      </c>
      <c r="N352" t="str">
        <v>elektrik</v>
      </c>
      <c r="O352" t="str">
        <v>35.150.2123 (55)</v>
      </c>
    </row>
    <row r="353" ht="45" customHeight="1" xml:space="preserve">
      <c r="A353" s="1">
        <v>339</v>
      </c>
      <c r="B353" s="1">
        <v>339</v>
      </c>
      <c r="C353" t="str" xml:space="preserve">
        <v xml:space="preserve">2x1.5re, N2XH FE 180 tipi aleve_x000d_
dayanıklı 0,6/1kV kablolar:_x000d_
(ölçü:m)</v>
      </c>
      <c r="D353" t="str">
        <v>metre</v>
      </c>
      <c r="E353" s="4">
        <v>1300</v>
      </c>
      <c r="F353" s="2">
        <v>135.18</v>
      </c>
      <c r="G353" s="2">
        <f>IF(F353="","",E353*F353)</f>
        <v>175734</v>
      </c>
      <c r="H353" t="str">
        <v>35.150.3120</v>
      </c>
      <c r="I353" t="str">
        <v>2x1.5re</v>
      </c>
      <c r="J353" t="str">
        <v>m</v>
      </c>
      <c r="K353" s="2">
        <v>135.18</v>
      </c>
      <c r="L353" s="2">
        <v>77.65</v>
      </c>
      <c r="M353" s="1">
        <v>97</v>
      </c>
      <c r="N353" t="str">
        <v>elektrik</v>
      </c>
      <c r="O353" t="str">
        <v>35.150.3121 (95)</v>
      </c>
    </row>
    <row r="354" ht="45" customHeight="1" xml:space="preserve">
      <c r="A354" s="1">
        <v>340</v>
      </c>
      <c r="B354" s="1">
        <v>340</v>
      </c>
      <c r="C354" t="str" xml:space="preserve">
        <v xml:space="preserve">5x16re, N2XH FE 180 tipi aleve_x000d_
dayanıklı 0,6/1kV kablolar:_x000d_
(ölçü:m)</v>
      </c>
      <c r="D354" t="str">
        <v>metre</v>
      </c>
      <c r="E354" s="1">
        <v>50</v>
      </c>
      <c r="F354" s="2">
        <v>904.04</v>
      </c>
      <c r="G354" s="2">
        <f>IF(F354="","",E354*F354)</f>
        <v>45202</v>
      </c>
      <c r="H354" t="str">
        <v>35.150.3193</v>
      </c>
      <c r="I354" t="str">
        <v>5x16re</v>
      </c>
      <c r="J354" t="str">
        <v>m</v>
      </c>
      <c r="K354" s="2">
        <v>904.04</v>
      </c>
      <c r="L354" s="2">
        <v>142.36</v>
      </c>
      <c r="M354" s="1">
        <v>100</v>
      </c>
      <c r="N354" t="str">
        <v>elektrik</v>
      </c>
      <c r="O354" t="str">
        <v>35.150.3190 (84)</v>
      </c>
    </row>
    <row r="355" ht="90" customHeight="1" xml:space="preserve">
      <c r="A355" s="1">
        <v>341</v>
      </c>
      <c r="B355" s="1">
        <v>341</v>
      </c>
      <c r="C355" t="str" xml:space="preserve">
        <v xml:space="preserve">Komütatör sorti, Linye hattı peşel, bergman veya PVC boru içerisinde plastik izoleli iletkenler, sorti hatları kurşunsuz, antigron, (NVV), (NYM)_x000d_
nevinden malzeme ile</v>
      </c>
      <c r="D355" t="str">
        <v>adet</v>
      </c>
      <c r="E355" s="1">
        <v>7</v>
      </c>
      <c r="F355" s="2">
        <v>3366.83</v>
      </c>
      <c r="G355" s="2">
        <f>IF(F355="","",E355*F355)</f>
        <v>23567.81</v>
      </c>
      <c r="H355" t="str">
        <v>35.160.1222</v>
      </c>
      <c r="I355" t="str">
        <v>Komütatör sorti</v>
      </c>
      <c r="J355" t="str">
        <v/>
      </c>
      <c r="K355" s="2">
        <v>3366.83</v>
      </c>
      <c r="L355" s="2">
        <v>2210.68</v>
      </c>
      <c r="M355" s="1">
        <v>72</v>
      </c>
      <c r="N355" t="str">
        <v>elektrik</v>
      </c>
      <c r="O355" t="str">
        <v>35.160.1221 (67)</v>
      </c>
    </row>
    <row r="356" ht="75" customHeight="1" xml:space="preserve">
      <c r="A356" s="1">
        <v>342</v>
      </c>
      <c r="B356" s="1">
        <v>342</v>
      </c>
      <c r="C356" t="str" xml:space="preserve">
        <v xml:space="preserve">Linye ve sorti hatları kurşunsuz antigron nevinden malzeme ile normal priz sortisi, ETANJ PRİZ SORTİSİ (Güvenlik hatlı) (TS_x000d_
uygunluk belgeli malzeme ile)</v>
      </c>
      <c r="D356" t="str">
        <v>adet</v>
      </c>
      <c r="E356" s="1">
        <v>20</v>
      </c>
      <c r="F356" s="2">
        <v>2716.1</v>
      </c>
      <c r="G356" s="2">
        <f>IF(F356="","",E356*F356)</f>
        <v>54322</v>
      </c>
      <c r="H356" t="str">
        <v>35.160.1611</v>
      </c>
      <c r="I356" t="str">
        <v>Linye ve sorti hatları kurşunsuz antigron nevinden malzeme ile normal priz sortisi.</v>
      </c>
      <c r="J356" t="str">
        <v/>
      </c>
      <c r="K356" s="2">
        <v>2716.1</v>
      </c>
      <c r="L356" s="2">
        <v>1507.95</v>
      </c>
      <c r="M356" s="1">
        <v>79</v>
      </c>
      <c r="N356" t="str">
        <v>elektrik</v>
      </c>
      <c r="O356" t="str">
        <v>35.160.3503 (69)</v>
      </c>
    </row>
    <row r="357" ht="30" customHeight="1" xml:space="preserve">
      <c r="A357" s="1">
        <v>343</v>
      </c>
      <c r="B357" s="1">
        <v>343</v>
      </c>
      <c r="C357" t="str" xml:space="preserve">
        <v xml:space="preserve">Normal Sorti, Halogen free_x000d_
kablolu aydınlatma sortisi</v>
      </c>
      <c r="D357" t="str">
        <v>adet</v>
      </c>
      <c r="E357" s="1">
        <v>35</v>
      </c>
      <c r="F357" s="2">
        <v>2552.13</v>
      </c>
      <c r="G357" s="2">
        <f>IF(F357="","",E357*F357)</f>
        <v>89324.55</v>
      </c>
      <c r="H357" t="str">
        <v>35.160.3101</v>
      </c>
      <c r="I357" t="str">
        <v>Normal Sorti</v>
      </c>
      <c r="J357" t="str">
        <v>Ad</v>
      </c>
      <c r="K357" s="2">
        <v>2552.13</v>
      </c>
      <c r="L357" s="2">
        <v>1850.16</v>
      </c>
      <c r="M357" s="1">
        <v>80</v>
      </c>
      <c r="N357" t="str">
        <v>elektrik</v>
      </c>
      <c r="O357" t="str">
        <v>35.160.3104 (68)</v>
      </c>
    </row>
    <row r="358" ht="30" customHeight="1" xml:space="preserve">
      <c r="A358" s="1">
        <v>344</v>
      </c>
      <c r="B358" s="1">
        <v>344</v>
      </c>
      <c r="C358" t="str" xml:space="preserve">
        <v xml:space="preserve">Komütatör Sorti, Halogen free_x000d_
kablolu aydınlatma sortisi</v>
      </c>
      <c r="D358" t="str">
        <v>adet</v>
      </c>
      <c r="E358" s="1">
        <v>60</v>
      </c>
      <c r="F358" s="2">
        <v>3368.3</v>
      </c>
      <c r="G358" s="2">
        <f>IF(F358="","",E358*F358)</f>
        <v>202098</v>
      </c>
      <c r="H358" t="str">
        <v>35.160.3102</v>
      </c>
      <c r="I358" t="str">
        <v>Komütatör Sorti</v>
      </c>
      <c r="J358" t="str">
        <v>Ad</v>
      </c>
      <c r="K358" s="2">
        <v>3368.3</v>
      </c>
      <c r="L358" s="2">
        <v>2472.49</v>
      </c>
      <c r="M358" s="1">
        <v>80</v>
      </c>
      <c r="N358" t="str">
        <v>elektrik</v>
      </c>
      <c r="O358" t="str">
        <v>35.160.3101 (68)</v>
      </c>
    </row>
    <row r="359" ht="15" customHeight="1">
      <c r="A359" s="1">
        <v>345</v>
      </c>
      <c r="B359" s="1">
        <v>345</v>
      </c>
      <c r="C359" t="str">
        <v>Paralel Sorti, Halogen free</v>
      </c>
      <c r="D359" t="str">
        <v>adet</v>
      </c>
      <c r="E359" s="1">
        <v>720</v>
      </c>
      <c r="F359" s="2">
        <v>1215.59</v>
      </c>
      <c r="G359" s="2">
        <f>IF(F359="","",E359*F359)</f>
        <v>875224.8</v>
      </c>
      <c r="H359" t="str">
        <v>35.160.3104</v>
      </c>
      <c r="I359" t="str">
        <v>Paralel Sorti</v>
      </c>
      <c r="J359" t="str">
        <v>Ad</v>
      </c>
      <c r="K359" s="2">
        <v>1215.59</v>
      </c>
      <c r="L359" s="2">
        <v>929.93</v>
      </c>
      <c r="M359" s="1">
        <v>61</v>
      </c>
      <c r="N359" t="str">
        <v>elektrik</v>
      </c>
      <c r="O359" t="str">
        <v>35.160.3108 (59)</v>
      </c>
    </row>
    <row r="360" ht="15" customHeight="1">
      <c r="C360" t="str">
        <v>kablolu aydınlatma sortisi</v>
      </c>
    </row>
    <row r="361" ht="45" customHeight="1" xml:space="preserve">
      <c r="A361" s="1">
        <v>346</v>
      </c>
      <c r="B361" s="1">
        <v>346</v>
      </c>
      <c r="C361" t="str" xml:space="preserve">
        <v xml:space="preserve">Normal Sorti, Linye ve sorti_x000d_
hatları kurşunsuz antigron_x000d_
(NHXMH) nevinden malzeme ile</v>
      </c>
      <c r="D361" t="str">
        <v>adet</v>
      </c>
      <c r="E361" s="1">
        <v>5</v>
      </c>
      <c r="F361" s="2">
        <v>2603.15</v>
      </c>
      <c r="G361" s="2">
        <f>IF(F361="","",E361*F361)</f>
        <v>13015.75</v>
      </c>
      <c r="H361" t="str">
        <v>35.160.3503</v>
      </c>
      <c r="I361" t="str">
        <v>Linye ve sorti hatları kurşunsuz antigron (NHXMH) nevinden malzeme ile normal priz sortisi</v>
      </c>
      <c r="J361" t="str">
        <v>Ad</v>
      </c>
      <c r="K361" s="2">
        <v>2603.15</v>
      </c>
      <c r="L361" s="2">
        <v>1340.55</v>
      </c>
      <c r="M361" s="1">
        <v>78</v>
      </c>
      <c r="N361" t="str">
        <v>elektrik</v>
      </c>
      <c r="O361" t="str">
        <v>35.160.3331 (70)</v>
      </c>
    </row>
    <row r="362" ht="45" customHeight="1">
      <c r="A362" s="1">
        <v>347</v>
      </c>
      <c r="B362" s="1">
        <v>347</v>
      </c>
      <c r="C362" t="str">
        <v>Paralel Sorti, Linye ve sorti hatları kurşunsuz antigron (NHXMH) nevinden malzeme ile</v>
      </c>
      <c r="D362" t="str">
        <v>adet</v>
      </c>
      <c r="E362" s="1">
        <v>68</v>
      </c>
      <c r="F362" s="2">
        <v>2603.15</v>
      </c>
      <c r="G362" s="2">
        <f>IF(F362="","",E362*F362)</f>
        <v>177014.2</v>
      </c>
      <c r="H362" t="str">
        <v>35.160.3503</v>
      </c>
      <c r="I362" t="str">
        <v>Linye ve sorti hatları kurşunsuz antigron (NHXMH) nevinden malzeme ile normal priz sortisi</v>
      </c>
      <c r="J362" t="str">
        <v>Ad</v>
      </c>
      <c r="K362" s="2">
        <v>2603.15</v>
      </c>
      <c r="L362" s="2">
        <v>1340.55</v>
      </c>
      <c r="M362" s="1">
        <v>74</v>
      </c>
      <c r="N362" t="str">
        <v>elektrik</v>
      </c>
      <c r="O362" t="str">
        <v>35.160.3334 (70)</v>
      </c>
    </row>
    <row r="363" ht="30" customHeight="1" xml:space="preserve">
      <c r="A363" s="1">
        <v>348</v>
      </c>
      <c r="B363" s="1">
        <v>348</v>
      </c>
      <c r="C363" t="str" xml:space="preserve">
        <v xml:space="preserve">Güvenlik hattı priz sortisi,_x000d_
Halojen free kablolu priz sortisi</v>
      </c>
      <c r="D363" t="str">
        <v>adet</v>
      </c>
      <c r="E363" s="1">
        <v>390</v>
      </c>
      <c r="F363" s="2">
        <v>3984.84</v>
      </c>
      <c r="G363" s="2">
        <f>IF(F363="","",E363*F363)</f>
        <v>1554087.6</v>
      </c>
      <c r="H363" t="str">
        <v>35.160.3401</v>
      </c>
      <c r="I363" t="str">
        <v>Güvenlik hatlı priz sortisi.</v>
      </c>
      <c r="J363" t="str">
        <v>Ad</v>
      </c>
      <c r="K363" s="2">
        <v>3984.84</v>
      </c>
      <c r="L363" s="2">
        <v>2781.61</v>
      </c>
      <c r="M363" s="1">
        <v>57</v>
      </c>
      <c r="N363" t="str">
        <v>elektrik</v>
      </c>
      <c r="O363" t="str">
        <v>35.160.3201 (37)</v>
      </c>
    </row>
    <row r="364" ht="75" customHeight="1" xml:space="preserve">
      <c r="A364" s="1">
        <v>349</v>
      </c>
      <c r="B364" s="1">
        <v>349</v>
      </c>
      <c r="C364" t="str" xml:space="preserve">
        <v xml:space="preserve">Linye hattı HFFR boru içerisinde, plastik izoleli (H07Z, H07Z1) iletkenler, sorti hatları kurşunsuz, antigron, (NHXMH) nevinden_x000d_
malzeme ile normal priz sortisi</v>
      </c>
      <c r="D364" t="str">
        <v>adet</v>
      </c>
      <c r="E364" s="1">
        <v>30</v>
      </c>
      <c r="F364" s="2">
        <v>3556.91</v>
      </c>
      <c r="G364" s="2">
        <f>IF(F364="","",E364*F364)</f>
        <v>106707.3</v>
      </c>
      <c r="H364" t="str">
        <v>35.160.3502</v>
      </c>
      <c r="I364" t="str">
        <v>Linye hattı HFFR boru içerisinde, plastik izoleli (H07Z, H07Z1) iletkenler, sorti hatları kurşunsuz, antigron, (NHXMH) nevinden malzeme ile normal priz sortisi</v>
      </c>
      <c r="J364" t="str">
        <v>Ad</v>
      </c>
      <c r="K364" s="2">
        <v>3556.91</v>
      </c>
      <c r="L364" s="2">
        <v>2244.53</v>
      </c>
      <c r="M364" s="1">
        <v>94</v>
      </c>
      <c r="N364" t="str">
        <v>elektrik</v>
      </c>
      <c r="O364" t="str">
        <v>35.160.3321 (80)</v>
      </c>
    </row>
    <row r="365" ht="60" customHeight="1" xml:space="preserve">
      <c r="A365" s="1">
        <v>350</v>
      </c>
      <c r="B365" s="1">
        <v>350</v>
      </c>
      <c r="C365" t="str" xml:space="preserve">
        <v xml:space="preserve">40-50 mm PE HFFR boru, HALOJENSİZ ALEV YAYMAZ ELEKTRİK TESİSAT_x000d_
BORULARI</v>
      </c>
      <c r="D365" t="str">
        <v>metre</v>
      </c>
      <c r="E365" s="1">
        <v>300</v>
      </c>
      <c r="F365" s="2">
        <v>155.31</v>
      </c>
      <c r="G365" s="2">
        <f>IF(F365="","",E365*F365)</f>
        <v>46593</v>
      </c>
      <c r="H365" t="str">
        <v>35.160.6203</v>
      </c>
      <c r="I365" t="str">
        <v>40-50 mm PE HFFR boru</v>
      </c>
      <c r="J365" t="str">
        <v>m</v>
      </c>
      <c r="K365" s="2">
        <v>155.31</v>
      </c>
      <c r="L365" s="2">
        <v>71.46</v>
      </c>
      <c r="M365" s="1">
        <v>82</v>
      </c>
      <c r="N365" t="str">
        <v>elektrik</v>
      </c>
      <c r="O365" t="str">
        <v>35.160.6501 (22)</v>
      </c>
    </row>
    <row r="366" ht="60" customHeight="1" xml:space="preserve">
      <c r="A366" s="1">
        <v>351</v>
      </c>
      <c r="B366" s="1">
        <v>351</v>
      </c>
      <c r="C366" t="str" xml:space="preserve">
        <v xml:space="preserve">Sıva üstü, min. 30x30 ebatlarında LED li tavan armatürü (ışık akısı en az 1000 lm, armatür ışıksal_x000d_
verimi en az 120 lm/w olan)</v>
      </c>
      <c r="D366" t="str">
        <v>adet</v>
      </c>
      <c r="E366" s="1">
        <v>4</v>
      </c>
      <c r="F366" s="2">
        <v>2444.7</v>
      </c>
      <c r="G366" s="2">
        <f>IF(F366="","",E366*F366)</f>
        <v>9778.8</v>
      </c>
      <c r="H366" t="str">
        <v>35.170.1101</v>
      </c>
      <c r="I366" t="str">
        <v>Sıva üstü, min. 30x30 ebatlarında LED li tavan armatürü (ışık akısı en az 1000 lm, armatür ışıksal verimi en az 120 lm/w olan)</v>
      </c>
      <c r="J366" t="str">
        <v>Adet</v>
      </c>
      <c r="K366" s="2">
        <v>2444.7</v>
      </c>
      <c r="L366" s="2">
        <v>295.86</v>
      </c>
      <c r="M366" s="1">
        <v>96</v>
      </c>
      <c r="N366" t="str">
        <v>elektrik</v>
      </c>
      <c r="O366" t="str">
        <v>35.170.1102 (90)</v>
      </c>
    </row>
    <row r="367" ht="60" customHeight="1" xml:space="preserve">
      <c r="A367" s="1">
        <v>352</v>
      </c>
      <c r="B367" s="1">
        <v>352</v>
      </c>
      <c r="C367" t="str" xml:space="preserve">
        <v xml:space="preserve">Sıva altı, min. 60x60 ebatlarında LED li tavan armatürü (ışık akısı en az 3300 lm, armatür ışıksal_x000d_
verimi en az 100 lm/w olan).</v>
      </c>
      <c r="D367" t="str">
        <v>adet</v>
      </c>
      <c r="E367" s="1">
        <v>16</v>
      </c>
      <c r="F367" s="2">
        <v>6064.61</v>
      </c>
      <c r="G367" s="2">
        <f>IF(F367="","",E367*F367)</f>
        <v>97033.76</v>
      </c>
      <c r="H367" t="str">
        <v>35.170.1302</v>
      </c>
      <c r="I367" t="str">
        <v>Sıva altı, min. 60x60 ebatlarında LED li steril ortam tavan armatürü (ışık akısı en az 3300 lm, armatür ışıksal verimi en az 120 lm/w)</v>
      </c>
      <c r="J367" t="str">
        <v>Adet</v>
      </c>
      <c r="K367" s="2">
        <v>6064.61</v>
      </c>
      <c r="L367" s="2">
        <v>295.86</v>
      </c>
      <c r="M367" s="1">
        <v>70</v>
      </c>
      <c r="N367" t="str">
        <v>elektrik</v>
      </c>
      <c r="O367" t="str">
        <v>35.170.1301 (65)</v>
      </c>
    </row>
    <row r="368" ht="45" customHeight="1" xml:space="preserve">
      <c r="A368" s="1">
        <v>353</v>
      </c>
      <c r="B368" s="1">
        <v>353</v>
      </c>
      <c r="C368" t="str" xml:space="preserve">
        <v xml:space="preserve">Led endirek armatür ışık akısı en az 2000 lm, armatür ışıksal verimi_x000d_
en az 70 lm/w olan.</v>
      </c>
      <c r="D368" t="str">
        <v>adet</v>
      </c>
      <c r="E368" s="1">
        <v>10</v>
      </c>
      <c r="F368" s="2">
        <v>4151.4</v>
      </c>
      <c r="G368" s="2">
        <f>IF(F368="","",E368*F368)</f>
        <v>41514</v>
      </c>
      <c r="H368" t="str">
        <v>35.170.1201</v>
      </c>
      <c r="I368" t="str">
        <v>Led endirek armatür ışık akısı en az 2000 lm, armatür ışıksal verimi en az 70 lm/w olan.</v>
      </c>
      <c r="J368" t="str">
        <v>Adet</v>
      </c>
      <c r="K368" s="2">
        <v>4151.4</v>
      </c>
      <c r="L368" s="2">
        <v>295.86</v>
      </c>
      <c r="M368" s="1">
        <v>94</v>
      </c>
      <c r="N368" t="str">
        <v>elektrik</v>
      </c>
      <c r="O368" t="str">
        <v>35.170.1202 (64)</v>
      </c>
    </row>
    <row r="369" ht="60" customHeight="1" xml:space="preserve">
      <c r="A369" s="1">
        <v>354</v>
      </c>
      <c r="B369" s="1">
        <v>354</v>
      </c>
      <c r="C369" t="str" xml:space="preserve">
        <v xml:space="preserve">Sıva altı, LED'li dairesel (downlight) armatür (ışık akısı en az 800 lm, armatür ışıksal verimi_x000d_
en az 100 lm/w).</v>
      </c>
      <c r="D369" t="str">
        <v>adet</v>
      </c>
      <c r="E369" s="1">
        <v>485</v>
      </c>
      <c r="F369" s="2">
        <v>1545.86</v>
      </c>
      <c r="G369" s="2">
        <f>IF(F369="","",E369*F369)</f>
        <v>749742.1</v>
      </c>
      <c r="H369" t="str">
        <v>35.170.1501</v>
      </c>
      <c r="I369" t="str">
        <v>Sıva altı, LED'li dairesel (downlight) armatür (ışık akısı en az 800 lm, armatür ışıksal verimi en az 100 lm/w).</v>
      </c>
      <c r="J369" t="str">
        <v>Adet</v>
      </c>
      <c r="K369" s="2">
        <v>1545.86</v>
      </c>
      <c r="L369" s="2">
        <v>295.86</v>
      </c>
      <c r="M369" s="1">
        <v>96</v>
      </c>
      <c r="N369" t="str">
        <v>elektrik</v>
      </c>
      <c r="O369" t="str">
        <v>35.170.1503 (89)</v>
      </c>
    </row>
    <row r="370" ht="60" customHeight="1" xml:space="preserve">
      <c r="A370" s="1">
        <v>355</v>
      </c>
      <c r="B370" s="1">
        <v>355</v>
      </c>
      <c r="C370" t="str" xml:space="preserve">
        <v xml:space="preserve">Sıva üstü, LED'li dairesel (downlight) armatür (ışık akısı en az 800 lm, armatür ışıksal verimi_x000d_
en az 100 lm/w).</v>
      </c>
      <c r="D370" t="str">
        <v>adet</v>
      </c>
      <c r="E370" s="1">
        <v>8</v>
      </c>
      <c r="F370" s="2">
        <v>2333.71</v>
      </c>
      <c r="G370" s="2">
        <f>IF(F370="","",E370*F370)</f>
        <v>18669.68</v>
      </c>
      <c r="H370" t="str">
        <v>35.170.1503</v>
      </c>
      <c r="I370" t="str">
        <v>Sıva üstü, LED'li dairesel (downlight) armatür (ışık akısı en az 800 lm, armatür ışıksal verimi en az 100 lm/w).</v>
      </c>
      <c r="J370" t="str">
        <v>Adet</v>
      </c>
      <c r="K370" s="2">
        <v>2333.71</v>
      </c>
      <c r="L370" s="2">
        <v>295.86</v>
      </c>
      <c r="M370" s="1">
        <v>96</v>
      </c>
      <c r="N370" t="str">
        <v>elektrik</v>
      </c>
      <c r="O370" t="str">
        <v>35.170.1501 (89)</v>
      </c>
    </row>
    <row r="371" ht="60" customHeight="1" xml:space="preserve">
      <c r="A371" s="1">
        <v>356</v>
      </c>
      <c r="B371" s="1">
        <v>356</v>
      </c>
      <c r="C371" t="str" xml:space="preserve">
        <v xml:space="preserve">LED sıva üstü etanj armatür (polikarbon gövdeli) ışık akısı en az 1800 lm, armatür ışıksal verimi_x000d_
en az 120 lm/w.</v>
      </c>
      <c r="D371" t="str">
        <v>adet</v>
      </c>
      <c r="E371" s="1">
        <v>30</v>
      </c>
      <c r="F371" s="2">
        <v>1927.96</v>
      </c>
      <c r="G371" s="2">
        <f>IF(F371="","",E371*F371)</f>
        <v>57838.8</v>
      </c>
      <c r="H371" t="str">
        <v>35.170.1601</v>
      </c>
      <c r="I371" t="str">
        <v>LED sıva üstü etanj armatür (polikarbon gövdeli) ışık akısı en az 1800 lm, armatür ışıksal verimi en az 120 lm/w</v>
      </c>
      <c r="J371" t="str">
        <v>Adet</v>
      </c>
      <c r="K371" s="2">
        <v>1927.96</v>
      </c>
      <c r="L371" s="2">
        <v>295.86</v>
      </c>
      <c r="M371" s="1">
        <v>96</v>
      </c>
      <c r="N371" t="str">
        <v>elektrik</v>
      </c>
      <c r="O371" t="str">
        <v>35.170.1701 (88)</v>
      </c>
    </row>
    <row r="372" ht="60" customHeight="1" xml:space="preserve">
      <c r="A372" s="1">
        <v>357</v>
      </c>
      <c r="B372" s="1">
        <v>357</v>
      </c>
      <c r="C372" t="str" xml:space="preserve">
        <v xml:space="preserve">LED sıva üstü etanj armatür (polikarbon gövdeli) ışık akısı en az 2700 lm, armatür ışıksal verimi_x000d_
en az 120 lm/w.</v>
      </c>
      <c r="D372" t="str">
        <v>adet</v>
      </c>
      <c r="E372" s="1">
        <v>51</v>
      </c>
      <c r="F372" s="2">
        <v>2672.14</v>
      </c>
      <c r="G372" s="2">
        <f>IF(F372="","",E372*F372)</f>
        <v>136279.14</v>
      </c>
      <c r="H372" t="str">
        <v>35.170.1602</v>
      </c>
      <c r="I372" t="str">
        <v>LED sıva üstü etanj armatür (polikarbon gövdeli) ışık akısı en az 2700 lm, armatür ışıksal verimi en az 120 lm/w</v>
      </c>
      <c r="J372" t="str">
        <v>Adet</v>
      </c>
      <c r="K372" s="2">
        <v>2672.14</v>
      </c>
      <c r="L372" s="2">
        <v>295.86</v>
      </c>
      <c r="M372" s="1">
        <v>96</v>
      </c>
      <c r="N372" t="str">
        <v>elektrik</v>
      </c>
      <c r="O372" t="str">
        <v>35.170.1702 (88)</v>
      </c>
    </row>
    <row r="373" ht="45" customHeight="1" xml:space="preserve">
      <c r="A373" s="1">
        <v>358</v>
      </c>
      <c r="B373" s="1">
        <v>358</v>
      </c>
      <c r="C373" t="str" xml:space="preserve">
        <v xml:space="preserve">Sıva üstü, ışık akısı en az 1800 lm, ışıksal verimi en az 100 lm/w,_x000d_
LED lineer armatür.</v>
      </c>
      <c r="D373" t="str">
        <v>adet</v>
      </c>
      <c r="E373" s="1">
        <v>200</v>
      </c>
      <c r="F373" s="2">
        <v>3563.7</v>
      </c>
      <c r="G373" s="2">
        <f>IF(F373="","",E373*F373)</f>
        <v>712740</v>
      </c>
      <c r="H373" t="str">
        <v>35.170.2010</v>
      </c>
      <c r="I373" t="str">
        <v>Sıva üstü, ışık akısı en az 1800 lm, ışıksal verimi en az 100 lm/w, LED lineer armatür.</v>
      </c>
      <c r="J373" t="str">
        <v>Adet</v>
      </c>
      <c r="K373" s="2">
        <v>3563.7</v>
      </c>
      <c r="L373" s="2">
        <v>295.86</v>
      </c>
      <c r="M373" s="1">
        <v>95</v>
      </c>
      <c r="N373" t="str">
        <v>elektrik</v>
      </c>
      <c r="O373" t="str">
        <v>35.170.2020 (87)</v>
      </c>
    </row>
    <row r="374" ht="60" customHeight="1" xml:space="preserve">
      <c r="A374" s="1">
        <v>359</v>
      </c>
      <c r="B374" s="1">
        <v>359</v>
      </c>
      <c r="C374" t="str" xml:space="preserve">
        <v xml:space="preserve">Led bar armatür, ışık akısı en az 700 lm, armatür ışıksal verimi en az 80 lm/w (en az IP 40) (en az_x000d_
IK 07)</v>
      </c>
      <c r="D374" t="str">
        <v>metre</v>
      </c>
      <c r="E374" s="1">
        <v>400</v>
      </c>
      <c r="F374" s="2">
        <v>1173.4</v>
      </c>
      <c r="G374" s="2">
        <f>IF(F374="","",E374*F374)</f>
        <v>469360</v>
      </c>
      <c r="H374" t="str">
        <v>35.170.2110</v>
      </c>
      <c r="I374" t="str">
        <v>Led bar armatür, ışık akısı en az 700 lm, armatür ışıksal verimi en az 80 lm/w (en az IP 40)</v>
      </c>
      <c r="J374" t="str">
        <v>Adet</v>
      </c>
      <c r="K374" s="2">
        <v>1173.4</v>
      </c>
      <c r="L374" s="2">
        <v>216.2</v>
      </c>
      <c r="M374" s="1">
        <v>58</v>
      </c>
      <c r="N374" t="str">
        <v>elektrik</v>
      </c>
      <c r="O374" t="str">
        <v>35.170.2116 (46)</v>
      </c>
    </row>
    <row r="375" ht="15" customHeight="1">
      <c r="A375" s="1">
        <v>360</v>
      </c>
      <c r="B375" s="1">
        <v>360</v>
      </c>
      <c r="C375" t="str">
        <v>Led aydınlatma armatürleri için</v>
      </c>
      <c r="D375" t="str">
        <v>adet</v>
      </c>
      <c r="E375" s="1">
        <v>96</v>
      </c>
      <c r="F375" s="2">
        <v>1073.5</v>
      </c>
      <c r="G375" s="2">
        <f>IF(F375="","",E375*F375)</f>
        <v>103056</v>
      </c>
      <c r="H375" t="str">
        <v>35.170.3140</v>
      </c>
      <c r="I375" t="str">
        <v>Radar sensörü</v>
      </c>
      <c r="J375" t="str">
        <v>Ad</v>
      </c>
      <c r="K375" s="2">
        <v>1073.5</v>
      </c>
      <c r="L375" s="2">
        <v>0</v>
      </c>
      <c r="M375" s="1">
        <v>70</v>
      </c>
      <c r="N375" t="str">
        <v>elektrik</v>
      </c>
      <c r="O375" t="str">
        <v>35.170.8800 (70)</v>
      </c>
    </row>
    <row r="376" ht="15" customHeight="1">
      <c r="C376" t="str">
        <v>acil durum aydınlatma kiti fiyat farkı</v>
      </c>
    </row>
    <row r="377" ht="30" customHeight="1" xml:space="preserve">
      <c r="A377" s="1">
        <v>361</v>
      </c>
      <c r="B377" s="1">
        <v>361</v>
      </c>
      <c r="C377" t="str" xml:space="preserve">
        <v xml:space="preserve">360º tavan tipi sıva üstü hareket_x000d_
sensörü, Hareket Sensörleri</v>
      </c>
      <c r="D377" t="str">
        <v>adet</v>
      </c>
      <c r="E377" s="1">
        <v>20</v>
      </c>
      <c r="F377" s="2">
        <v>923.01</v>
      </c>
      <c r="G377" s="2">
        <f>IF(F377="","",E377*F377)</f>
        <v>18460.2</v>
      </c>
      <c r="H377" t="str">
        <v>35.170.5202</v>
      </c>
      <c r="I377" t="str">
        <v>360º tavan tipi sıva üstü hareket sensörü, en az IP44</v>
      </c>
      <c r="J377" t="str">
        <v>Ad</v>
      </c>
      <c r="K377" s="2">
        <v>923.01</v>
      </c>
      <c r="L377" s="2">
        <v>267.99</v>
      </c>
      <c r="M377" s="1">
        <v>76</v>
      </c>
      <c r="N377" t="str">
        <v>elektrik</v>
      </c>
      <c r="O377" t="str">
        <v>35.170.5203 (62)</v>
      </c>
    </row>
    <row r="378" ht="30" customHeight="1" xml:space="preserve">
      <c r="A378" s="1">
        <v>362</v>
      </c>
      <c r="B378" s="1">
        <v>362</v>
      </c>
      <c r="C378" t="str" xml:space="preserve">
        <v xml:space="preserve">360º tavan tipi sıva altı hareket_x000d_
sensörü, Hareket Sensörleri</v>
      </c>
      <c r="D378" t="str">
        <v>adet</v>
      </c>
      <c r="E378" s="1">
        <v>90</v>
      </c>
      <c r="F378" s="2">
        <v>1021.26</v>
      </c>
      <c r="G378" s="2">
        <f>IF(F378="","",E378*F378)</f>
        <v>91913.4</v>
      </c>
      <c r="H378" t="str">
        <v>35.170.5203</v>
      </c>
      <c r="I378" t="str">
        <v>360º tavan tipi sıva altı hareket sensörü, en az IP20</v>
      </c>
      <c r="J378" t="str">
        <v>Ad</v>
      </c>
      <c r="K378" s="2">
        <v>1021.26</v>
      </c>
      <c r="L378" s="2">
        <v>267.99</v>
      </c>
      <c r="M378" s="1">
        <v>76</v>
      </c>
      <c r="N378" t="str">
        <v>elektrik</v>
      </c>
      <c r="O378" t="str">
        <v>35.170.5202 (63)</v>
      </c>
    </row>
    <row r="379" ht="75" customHeight="1" xml:space="preserve">
      <c r="A379" s="1">
        <v>363</v>
      </c>
      <c r="B379" s="1">
        <v>363</v>
      </c>
      <c r="C379" t="str" xml:space="preserve">
        <v xml:space="preserve">LED wallwasher, 20 cm, ışık akısı en az 1000 lm, armatür ışıksal verimi en az 120 lm/w / LED Wallwasher (Duvar_x000d_
Boyama) / LED Armatürler</v>
      </c>
      <c r="D379" t="str">
        <v>adet</v>
      </c>
      <c r="E379" s="1">
        <v>10</v>
      </c>
      <c r="F379" s="2">
        <v>2920.15</v>
      </c>
      <c r="G379" s="2">
        <f>IF(F379="","",E379*F379)</f>
        <v>29201.5</v>
      </c>
      <c r="H379" t="str">
        <v>35.170.5310</v>
      </c>
      <c r="I379" t="str">
        <v>LED wallwasher, 20 cm, ışık akısı en az 1000 lm, armatür ışıksal verimi en az 120 lm/w</v>
      </c>
      <c r="J379" t="str">
        <v>Ad</v>
      </c>
      <c r="K379" s="2">
        <v>2920.15</v>
      </c>
      <c r="L379" s="2">
        <v>295.86</v>
      </c>
      <c r="M379" s="1">
        <v>86</v>
      </c>
      <c r="N379" t="str">
        <v>elektrik</v>
      </c>
      <c r="O379" t="str">
        <v>35.170.5345 (50)</v>
      </c>
    </row>
    <row r="380" ht="75" customHeight="1" xml:space="preserve">
      <c r="A380" s="1">
        <v>364</v>
      </c>
      <c r="B380" s="1">
        <v>364</v>
      </c>
      <c r="C380" t="str" xml:space="preserve">
        <v xml:space="preserve">LED wallwasher, 50 cm, ışık akısı en az 3000 lm, armatür ışıksal verimi en az 120 lm/w / LED Wallwasher (Duvar_x000d_
Boyama) / LED Armatürler</v>
      </c>
      <c r="D380" t="str">
        <v>adet</v>
      </c>
      <c r="E380" s="1">
        <v>10</v>
      </c>
      <c r="F380" s="2">
        <v>5487.31</v>
      </c>
      <c r="G380" s="2">
        <f>IF(F380="","",E380*F380)</f>
        <v>54873.1</v>
      </c>
      <c r="H380" t="str">
        <v>35.170.5325</v>
      </c>
      <c r="I380" t="str">
        <v>LED wallwasher, 50 cm, ışık akısı en az 3000 lm, armatür ışıksal verimi en az 120 lm/w</v>
      </c>
      <c r="J380" t="str">
        <v>Ad</v>
      </c>
      <c r="K380" s="2">
        <v>5487.31</v>
      </c>
      <c r="L380" s="2">
        <v>413.69</v>
      </c>
      <c r="M380" s="1">
        <v>86</v>
      </c>
      <c r="N380" t="str">
        <v>elektrik</v>
      </c>
      <c r="O380" t="str">
        <v>35.170.5345 (50)</v>
      </c>
    </row>
    <row r="381" ht="75" customHeight="1" xml:space="preserve">
      <c r="A381" s="1">
        <v>365</v>
      </c>
      <c r="B381" s="1">
        <v>365</v>
      </c>
      <c r="C381" t="str" xml:space="preserve">
        <v xml:space="preserve">LED wallwasher, 100 cm, ışık akısı en az 6000 lm, armatür ışıksal verimi en az 120 lm/w / LED Wallwasher (Duvar_x000d_
Boyama) / LED Armatürler</v>
      </c>
      <c r="D381" t="str">
        <v>adet</v>
      </c>
      <c r="E381" s="1">
        <v>10</v>
      </c>
      <c r="F381" s="2">
        <v>9297.43</v>
      </c>
      <c r="G381" s="2">
        <f>IF(F381="","",E381*F381)</f>
        <v>92974.3</v>
      </c>
      <c r="H381" t="str">
        <v>35.170.5340</v>
      </c>
      <c r="I381" t="str">
        <v>LED wallwasher, 100 cm, ışık akısı en az 6000 lm, armatür ışıksal verimi en az 120 lm/w</v>
      </c>
      <c r="J381" t="str">
        <v>Ad</v>
      </c>
      <c r="K381" s="2">
        <v>9297.43</v>
      </c>
      <c r="L381" s="2">
        <v>549.79</v>
      </c>
      <c r="M381" s="1">
        <v>86</v>
      </c>
      <c r="N381" t="str">
        <v>elektrik</v>
      </c>
      <c r="O381" t="str">
        <v>35.170.5345 (49)</v>
      </c>
    </row>
    <row r="382" ht="75" customHeight="1" xml:space="preserve">
      <c r="A382" s="1">
        <v>366</v>
      </c>
      <c r="B382" s="1">
        <v>366</v>
      </c>
      <c r="C382" t="str" xml:space="preserve">
        <v xml:space="preserve">En az 120 mm, en az 2.0 m, en az 2000 lm, en az 90 lm/W kolon tipii armatür / Kolon Tipi Armatür (Işıklı Sütun) / Dış_x000d_
Mekan Aydınlatma Armatürleri</v>
      </c>
      <c r="D382" t="str">
        <v>adet</v>
      </c>
      <c r="E382" s="1">
        <v>10</v>
      </c>
      <c r="F382" s="2">
        <v>17374.24</v>
      </c>
      <c r="G382" s="2">
        <f>IF(F382="","",E382*F382)</f>
        <v>173742.4</v>
      </c>
      <c r="H382" t="str">
        <v>35.172.1102</v>
      </c>
      <c r="I382" t="str">
        <v>En az 120 mm, en az 2.0 m, en az 2000 lm, en az 90 lm/W kolon tipii armatür</v>
      </c>
      <c r="J382" t="str">
        <v>Ad</v>
      </c>
      <c r="K382" s="2">
        <v>17374.24</v>
      </c>
      <c r="L382" s="2">
        <v>1099.56</v>
      </c>
      <c r="M382" s="1">
        <v>88</v>
      </c>
      <c r="N382" t="str">
        <v>elektrik</v>
      </c>
      <c r="O382" t="str">
        <v>35.172.1104 (74)</v>
      </c>
    </row>
    <row r="383" ht="30" customHeight="1">
      <c r="A383" s="1">
        <v>367</v>
      </c>
      <c r="B383" s="1">
        <v>367</v>
      </c>
      <c r="C383" t="str">
        <v>3 kVA en az 5 dakika akü besleme süreli</v>
      </c>
      <c r="D383" t="str">
        <v>adet</v>
      </c>
      <c r="E383" s="1">
        <v>1</v>
      </c>
      <c r="F383" s="2">
        <v>29777.58</v>
      </c>
      <c r="G383" s="2">
        <f>IF(F383="","",E383*F383)</f>
        <v>29777.58</v>
      </c>
      <c r="H383" t="str">
        <v>35.180.1158</v>
      </c>
      <c r="I383" t="str">
        <v>3 kVA en az 5 dakika akü besleme süreli</v>
      </c>
      <c r="J383" t="str">
        <v>Ad</v>
      </c>
      <c r="K383" s="2">
        <v>29777.58</v>
      </c>
      <c r="L383" s="2">
        <v>935.09</v>
      </c>
      <c r="M383" s="1">
        <v>86</v>
      </c>
      <c r="N383" t="str">
        <v>elektrik</v>
      </c>
      <c r="O383" t="str">
        <v>35.180.1151 (60)</v>
      </c>
    </row>
    <row r="384" ht="45" customHeight="1" xml:space="preserve">
      <c r="A384" s="1">
        <v>368</v>
      </c>
      <c r="B384" s="1">
        <v>368</v>
      </c>
      <c r="C384" t="str" xml:space="preserve">
        <v xml:space="preserve">Etanj Priz (TS-40), AYRI_x000d_
YAPILAN TESİSAT_x000d_
KISIMLARI</v>
      </c>
      <c r="D384" t="str">
        <v>adet</v>
      </c>
      <c r="E384" s="1">
        <v>52</v>
      </c>
      <c r="F384" s="2">
        <v>333.85</v>
      </c>
      <c r="G384" s="2">
        <f>IF(F384="","",E384*F384)</f>
        <v>17360.2</v>
      </c>
      <c r="H384" t="str">
        <v>35.185.1120</v>
      </c>
      <c r="I384" t="str">
        <v>Etanj normal anahtar</v>
      </c>
      <c r="J384" t="str">
        <v>Ad</v>
      </c>
      <c r="K384" s="2">
        <v>333.85</v>
      </c>
      <c r="L384" s="2">
        <v>230.45</v>
      </c>
      <c r="M384" s="1">
        <v>57</v>
      </c>
      <c r="N384" t="str">
        <v>elektrik</v>
      </c>
      <c r="O384" t="str">
        <v>35.185.1121 (56)</v>
      </c>
    </row>
    <row r="385" ht="30" customHeight="1" xml:space="preserve">
      <c r="A385" s="1">
        <v>369</v>
      </c>
      <c r="B385" s="1">
        <v>369</v>
      </c>
      <c r="C385" t="str" xml:space="preserve">
        <v xml:space="preserve">2 kutuplu (1NA+1NK kontak) , Ø_x000d_
40 mm mantar kafalı</v>
      </c>
      <c r="D385" t="str">
        <v>adet</v>
      </c>
      <c r="E385" s="1">
        <v>2</v>
      </c>
      <c r="F385" s="2">
        <v>803.93</v>
      </c>
      <c r="G385" s="2">
        <f>IF(F385="","",E385*F385)</f>
        <v>1607.86</v>
      </c>
      <c r="H385" t="str">
        <v>35.185.1701</v>
      </c>
      <c r="I385" t="str">
        <v>2 kutuplu (1NA+1NK kontak) , Ø 40 mm mantar kafalı</v>
      </c>
      <c r="J385" t="str">
        <v>Ad</v>
      </c>
      <c r="K385" s="2">
        <v>803.93</v>
      </c>
      <c r="L385" s="2">
        <v>230.45</v>
      </c>
      <c r="M385" s="1">
        <v>87</v>
      </c>
      <c r="N385" t="str">
        <v>elektrik</v>
      </c>
      <c r="O385" t="str">
        <v>35.185.1702 (64)</v>
      </c>
    </row>
    <row r="386" ht="30" customHeight="1">
      <c r="A386" s="1">
        <v>370</v>
      </c>
      <c r="B386" s="1">
        <v>370</v>
      </c>
      <c r="C386" t="str">
        <v>Tekli buton kutusu, Acil Durdurma Butonu Kutusu</v>
      </c>
      <c r="D386" t="str">
        <v>adet</v>
      </c>
      <c r="E386" s="1">
        <v>2</v>
      </c>
      <c r="F386" s="2">
        <v>450.58</v>
      </c>
      <c r="G386" s="2">
        <f>IF(F386="","",E386*F386)</f>
        <v>901.16</v>
      </c>
      <c r="H386" t="str">
        <v>35.185.1751</v>
      </c>
      <c r="I386" t="str">
        <v>Tekli buton kutusu</v>
      </c>
      <c r="J386" t="str">
        <v>Ad</v>
      </c>
      <c r="K386" s="2">
        <v>450.58</v>
      </c>
      <c r="L386" s="2">
        <v>230.45</v>
      </c>
      <c r="M386" s="1">
        <v>74</v>
      </c>
      <c r="N386" t="str">
        <v>elektrik</v>
      </c>
      <c r="O386" t="str">
        <v>35.185.1701 (21)</v>
      </c>
    </row>
    <row r="387" ht="15" customHeight="1">
      <c r="A387" s="1">
        <v>371</v>
      </c>
      <c r="B387" s="1">
        <v>371</v>
      </c>
      <c r="C387" t="str">
        <v>Kablo Tava Sistemleri</v>
      </c>
      <c r="D387" t="str">
        <v>kilogram</v>
      </c>
      <c r="E387" s="4">
        <v>4600</v>
      </c>
      <c r="F387" s="2">
        <v>218.66</v>
      </c>
      <c r="G387" s="2">
        <f>IF(F387="","",E387*F387)</f>
        <v>1005836</v>
      </c>
      <c r="H387" t="str">
        <v>35.190.1101</v>
      </c>
      <c r="I387" t="str">
        <v>Kablo Tava Sistemleri Kapak Sacı: (Ölçü: Kg ) Onaylı projesinde belirtilen kanalları kapatmak için kullanılmak üzere 35.190.1100 pozuna uygun özelliklerde kapak sacı her türlü işçilik ve malzeme dahil işler halde teslimi.</v>
      </c>
      <c r="J387" t="str">
        <v>Kg</v>
      </c>
      <c r="K387" s="2">
        <v>218.66</v>
      </c>
      <c r="L387" s="2">
        <v>25.36</v>
      </c>
      <c r="M387" s="1">
        <v>53</v>
      </c>
      <c r="N387" t="str">
        <v>elektrik</v>
      </c>
      <c r="O387" t="str">
        <v>35.190.1100 (43)</v>
      </c>
    </row>
    <row r="388" ht="15" customHeight="1">
      <c r="A388" s="1">
        <v>372</v>
      </c>
      <c r="B388" s="1">
        <v>372</v>
      </c>
      <c r="C388" t="str">
        <v>Kablo Tava Sistemleri Kapak sacı</v>
      </c>
      <c r="D388" t="str">
        <v>kilogram</v>
      </c>
      <c r="E388" s="1">
        <v>250</v>
      </c>
      <c r="F388" s="2">
        <v>218.66</v>
      </c>
      <c r="G388" s="2">
        <f>IF(F388="","",E388*F388)</f>
        <v>54665</v>
      </c>
      <c r="H388" t="str">
        <v>35.190.1101</v>
      </c>
      <c r="I388" t="str">
        <v>Kablo Tava Sistemleri Kapak Sacı: (Ölçü: Kg ) Onaylı projesinde belirtilen kanalları kapatmak için kullanılmak üzere 35.190.1100 pozuna uygun özelliklerde kapak sacı her türlü işçilik ve malzeme dahil işler halde teslimi.</v>
      </c>
      <c r="J388" t="str">
        <v>Kg</v>
      </c>
      <c r="K388" s="2">
        <v>218.66</v>
      </c>
      <c r="L388" s="2">
        <v>25.36</v>
      </c>
      <c r="M388" s="1">
        <v>60</v>
      </c>
      <c r="N388" t="str">
        <v>elektrik</v>
      </c>
      <c r="O388" t="str">
        <v>35.190.1100 (23)</v>
      </c>
    </row>
    <row r="389" ht="30" customHeight="1">
      <c r="A389" s="1">
        <v>373</v>
      </c>
      <c r="B389" s="1">
        <v>373</v>
      </c>
      <c r="C389" t="str">
        <v>WC/Banyo acil ipli çağrı butonu, HEMŞİRE ÇAĞRI SİSTEMİ</v>
      </c>
      <c r="D389" t="str">
        <v>adet</v>
      </c>
      <c r="E389" s="1">
        <v>5</v>
      </c>
      <c r="F389" s="2">
        <v>2333.28</v>
      </c>
      <c r="G389" s="2">
        <f>IF(F389="","",E389*F389)</f>
        <v>11666.4</v>
      </c>
      <c r="H389" t="str">
        <v>35.400.2008</v>
      </c>
      <c r="I389" t="str">
        <v>WC / Banyo acil ipli çağrı butonu(ölçü:ad.) Nem ve toza karşı korumalı, çağrı, reset but onu, uyarı lambası bulunan modül ve bundan sarkan naylon örgülü sicim ve ucundaki çekme halkasından oluşan ünitenin işyerinde temini, hernevi malzeme ve işçilik dahil işler halde teslimi.</v>
      </c>
      <c r="J389" t="str">
        <v>ad</v>
      </c>
      <c r="K389" s="2">
        <v>2333.28</v>
      </c>
      <c r="L389" s="2">
        <v>216.2</v>
      </c>
      <c r="M389" s="1">
        <v>47</v>
      </c>
      <c r="N389" t="str">
        <v>elektrik</v>
      </c>
      <c r="O389" t="str">
        <v>35.400.2002 (27)</v>
      </c>
    </row>
    <row r="390" ht="30" customHeight="1" xml:space="preserve">
      <c r="A390" s="1">
        <v>374</v>
      </c>
      <c r="B390" s="1">
        <v>374</v>
      </c>
      <c r="C390" t="str" xml:space="preserve">
        <v xml:space="preserve">2 Çevrimli adresli yangın alarm_x000d_
santrali, en az 240 adres kapasiteli</v>
      </c>
      <c r="D390" t="str">
        <v>adet</v>
      </c>
      <c r="E390" s="1">
        <v>1</v>
      </c>
      <c r="F390" s="2">
        <v>117618.29</v>
      </c>
      <c r="G390" s="2">
        <f>IF(F390="","",E390*F390)</f>
        <v>117618.29</v>
      </c>
      <c r="H390" t="str">
        <v>35.410.1102</v>
      </c>
      <c r="I390" t="str">
        <v>2 çevrimli adresli yangın alarm santrali, en az 240 adres kapasiteli.</v>
      </c>
      <c r="J390" t="str">
        <v>Ad</v>
      </c>
      <c r="K390" s="2">
        <v>117618.29</v>
      </c>
      <c r="L390" s="2">
        <v>16704.54</v>
      </c>
      <c r="M390" s="1">
        <v>95</v>
      </c>
      <c r="N390" t="str">
        <v>elektrik</v>
      </c>
      <c r="O390" t="str">
        <v>35.410.1118 (36)</v>
      </c>
    </row>
    <row r="391" ht="15" customHeight="1">
      <c r="A391" s="1">
        <v>375</v>
      </c>
      <c r="B391" s="1">
        <v>375</v>
      </c>
      <c r="C391" t="str">
        <v>Termal mini printer</v>
      </c>
      <c r="D391" t="str">
        <v>adet</v>
      </c>
      <c r="E391" s="1">
        <v>1</v>
      </c>
      <c r="F391" s="2">
        <v>11203.13</v>
      </c>
      <c r="G391" s="2">
        <f>IF(F391="","",E391*F391)</f>
        <v>11203.13</v>
      </c>
      <c r="H391" t="str">
        <v>35.410.1118</v>
      </c>
      <c r="I391" t="str">
        <v>Termal mini printer</v>
      </c>
      <c r="J391" t="str">
        <v>Ad</v>
      </c>
      <c r="K391" s="2">
        <v>11203.13</v>
      </c>
      <c r="L391" s="2">
        <v>446.64</v>
      </c>
      <c r="M391" s="1">
        <v>75</v>
      </c>
      <c r="N391" t="str">
        <v>elektrik</v>
      </c>
    </row>
    <row r="392" ht="30" customHeight="1" xml:space="preserve">
      <c r="A392" s="1">
        <v>376</v>
      </c>
      <c r="B392" s="1">
        <v>376</v>
      </c>
      <c r="C392" t="str" xml:space="preserve">
        <v xml:space="preserve">Adresli tekrarlayıcı yangın alarm_x000d_
paneli</v>
      </c>
      <c r="D392" t="str">
        <v>adet</v>
      </c>
      <c r="E392" s="1">
        <v>1</v>
      </c>
      <c r="F392" s="2">
        <v>50913.73</v>
      </c>
      <c r="G392" s="2">
        <f>IF(F392="","",E392*F392)</f>
        <v>50913.73</v>
      </c>
      <c r="H392" t="str">
        <v>35.410.2000</v>
      </c>
      <c r="I392" t="str">
        <v>Adresli tekrarlayıcı yangın alarm paneli (Ölçü: Ad.) Tekrarlayıcı panel, ana yangın alarm santralı üzerindeki tüm gösterge ve kontrol butonlarına sahip olmalı ve sistemle ilgili tüm alarm ve arıza durumları izlenebilmeli ve sistem kontrolleri yapılabilmelidir. Tekrarlayıcı panel de genel yangın alarm ve arıza lambası her yangın bölgesi için ayrı alarm ve arıza lambaları, aydınlatılmış alfanumerik gösterge ve lokal sesli uyarı cihazı bulunmalıdır. Tüm bölgesel yangın lambalarının yanlarında hangi yangın bölgesine ait olduklarını gösteren mahal numaraları bulunmalıdır. Ana beslemenin kesilmesi durumunda yangın alarm sistemi, algılama fonksiyonlarını en az 24 saat yerine getirebilecek ve bu sürenin sonunda tüm alarm verme, kontrol ve haberleşme fonksiyonlarını en az 30 dakika süre ile yerine getirebilecek şekilde tam kapalı, sızdırmaz tip, bakım gerektirmeyen akümülatörler ile teçhiz edilmelidir. Santralın topraklanması bağımsız olarak gerekli ohm da yapılmalıdır. Santral TS EN54-2 ve TS EN 54-4 standardına,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Tekrarlayıcı panelin temini, işyerine nakli her türlü ufak malzeme dahil, test edilerek çalışır halde teslimi.</v>
      </c>
      <c r="J392" t="str">
        <v>Ad</v>
      </c>
      <c r="K392" s="2">
        <v>50913.73</v>
      </c>
      <c r="L392" s="2">
        <v>10830.5</v>
      </c>
      <c r="M392" s="1">
        <v>48</v>
      </c>
      <c r="N392" t="str">
        <v>elektrik</v>
      </c>
      <c r="O392" t="str">
        <v>35.410.1117 (34)</v>
      </c>
    </row>
    <row r="393" ht="30" customHeight="1" xml:space="preserve">
      <c r="A393" s="1">
        <v>377</v>
      </c>
      <c r="B393" s="1">
        <v>377</v>
      </c>
      <c r="C393" t="str" xml:space="preserve">
        <v xml:space="preserve">Adresli kısa devre izolatörlü optik_x000d_
duman dedektörü</v>
      </c>
      <c r="D393" t="str">
        <v>adet</v>
      </c>
      <c r="E393" s="1">
        <v>165</v>
      </c>
      <c r="F393" s="2">
        <v>2498.44</v>
      </c>
      <c r="G393" s="2">
        <f>IF(F393="","",E393*F393)</f>
        <v>412242.6</v>
      </c>
      <c r="H393" t="str">
        <v>35.410.2030</v>
      </c>
      <c r="I393" t="str">
        <v>Adresli kısa devre izolatörlü optik duman dedektörü (Ölçü: Ad.): Dedektör, çevrim hattında oluşabilecek kısa devre durumunda sistemin çalışmaya devam edebilmesi için dahili kısa devre izolatörüne sahip olacaktır. Dedektör TS EN 54-7 ve TS EN 54-17 standartlarına,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Diğer özellikler bakımından 35.410.2020 birim fiyat numarası ile aynı olan dedektörün işyerine nakli projede gösterilen yere montajı, her türlü ufak malzeme dahil, test edilerek çalışır halde teslimi.</v>
      </c>
      <c r="J393" t="str">
        <v>Ad</v>
      </c>
      <c r="K393" s="2">
        <v>2498.44</v>
      </c>
      <c r="L393" s="2">
        <v>446.64</v>
      </c>
      <c r="M393" s="1">
        <v>55</v>
      </c>
      <c r="N393" t="str">
        <v>elektrik</v>
      </c>
      <c r="O393" t="str">
        <v>35.410.2560 (54)</v>
      </c>
    </row>
    <row r="394" ht="30" customHeight="1">
      <c r="A394" s="1">
        <v>378</v>
      </c>
      <c r="B394" s="1">
        <v>378</v>
      </c>
      <c r="C394" t="str">
        <v>Adresli kısa devre izolatörlü sıcaklık dedektörü</v>
      </c>
      <c r="D394" t="str">
        <v>adet</v>
      </c>
      <c r="E394" s="1">
        <v>1</v>
      </c>
      <c r="F394" s="2">
        <v>5317.66</v>
      </c>
      <c r="G394" s="2">
        <f>IF(F394="","",E394*F394)</f>
        <v>5317.66</v>
      </c>
      <c r="H394" t="str">
        <v>35.410.2560</v>
      </c>
      <c r="I394" t="str">
        <v>Adresli kısa devre izolatörlü sıfırlanabilir (resetlenebilir) yangın ihbar butonu (Ölçü:</v>
      </c>
      <c r="J394" t="str">
        <v>Ad</v>
      </c>
      <c r="K394" s="2">
        <v>5317.66</v>
      </c>
      <c r="L394" s="2">
        <v>446.64</v>
      </c>
      <c r="M394" s="1">
        <v>57</v>
      </c>
      <c r="N394" t="str">
        <v>elektrik</v>
      </c>
      <c r="O394" t="str">
        <v>35.410.2050 (54)</v>
      </c>
    </row>
    <row r="395" ht="45" customHeight="1" xml:space="preserve">
      <c r="A395" s="1">
        <v>379</v>
      </c>
      <c r="B395" s="1">
        <v>379</v>
      </c>
      <c r="C395" t="str" xml:space="preserve">
        <v xml:space="preserve">Adresli kısa devre izolatörlü kombine optik duman ve sıcaklık_x000d_
dedektörü</v>
      </c>
      <c r="D395" t="str">
        <v>adet</v>
      </c>
      <c r="E395" s="1">
        <v>15</v>
      </c>
      <c r="F395" s="2">
        <v>3022.41</v>
      </c>
      <c r="G395" s="2">
        <f>IF(F395="","",E395*F395)</f>
        <v>45336.15</v>
      </c>
      <c r="H395" t="str">
        <v>35.410.2070</v>
      </c>
      <c r="I395" t="str">
        <v>Adresli kısa devre izolatörlü kombine optik duman ve sıcaklık dedektörü (Ölçü: Ad.): Dedektör, çevrim hattında oluşabilecek kısa devre durumunda sistemin çalışmaya devam edebilmesi için dahili kısa devre izolatörüne sahip olacaktır. Dedektör TS EN 54-5, TS EN 54-7 ve TS EN 54-17 standartlarına, 305/2011/AB Yapı malzemeri Yönetmeliğine uygun imal edilmiş, CE uygunluk işaretiyle piyasaya arz edilmiş ve üreticinin performans beyanı ve Avrupa Birliği tarafından akredite edilmiş kuruluşlardan alınmış Performans Değişmezlik Sertifikasına sahip olacaktır. Diğer özellikler bakımından 35.410.2060 birim fiyat numarası ile aynı olan dedektörün temini, işyerine nakli, projede gösterilen yere montajı, her türlü ufak malzeme dahil, test edilerek çalışır halde teslimi.</v>
      </c>
      <c r="J395" t="str">
        <v>Ad</v>
      </c>
      <c r="K395" s="2">
        <v>3022.41</v>
      </c>
      <c r="L395" s="2">
        <v>446.64</v>
      </c>
      <c r="M395" s="1">
        <v>57</v>
      </c>
      <c r="N395" t="str">
        <v>elektrik</v>
      </c>
      <c r="O395" t="str">
        <v>35.410.2560 (46)</v>
      </c>
    </row>
    <row r="396" ht="30" customHeight="1" xml:space="preserve">
      <c r="A396" s="1">
        <v>380</v>
      </c>
      <c r="B396" s="1">
        <v>380</v>
      </c>
      <c r="C396" t="str" xml:space="preserve">
        <v xml:space="preserve">Adresli sıfırlanabilir yangın ihbar_x000d_
butonu</v>
      </c>
      <c r="D396" t="str">
        <v>adet</v>
      </c>
      <c r="E396" s="1">
        <v>36</v>
      </c>
      <c r="F396" s="2">
        <v>5317.66</v>
      </c>
      <c r="G396" s="2">
        <f>IF(F396="","",E396*F396)</f>
        <v>191435.76</v>
      </c>
      <c r="H396" t="str">
        <v>35.410.2560</v>
      </c>
      <c r="I396" t="str">
        <v>Adresli kısa devre izolatörlü sıfırlanabilir (resetlenebilir) yangın ihbar butonu (Ölçü:</v>
      </c>
      <c r="J396" t="str">
        <v>Ad</v>
      </c>
      <c r="K396" s="2">
        <v>5317.66</v>
      </c>
      <c r="L396" s="2">
        <v>446.64</v>
      </c>
      <c r="M396" s="1">
        <v>55</v>
      </c>
      <c r="N396" t="str">
        <v>elektrik</v>
      </c>
      <c r="O396" t="str">
        <v>35.415.1420 (53)</v>
      </c>
    </row>
    <row r="397" ht="30" customHeight="1" xml:space="preserve">
      <c r="A397" s="1">
        <v>381</v>
      </c>
      <c r="B397" s="1">
        <v>381</v>
      </c>
      <c r="C397" t="str" xml:space="preserve">
        <v xml:space="preserve">Adresli kısa devre izolatörlü röle_x000d_
modülü</v>
      </c>
      <c r="D397" t="str">
        <v>adet</v>
      </c>
      <c r="E397" s="1">
        <v>27</v>
      </c>
      <c r="F397" s="2">
        <v>5430.85</v>
      </c>
      <c r="G397" s="2">
        <f>IF(F397="","",E397*F397)</f>
        <v>146632.95</v>
      </c>
      <c r="H397" t="str">
        <v>35.410.2630</v>
      </c>
      <c r="I397" t="str">
        <v>Adresli kısa devre izolatörlü röle modülü (Ölçü: Ad.): Adresli kısa devre izolatörlü röle modülü çevrim hattında oluşabilecek kısa devre durumunda sistemin çalışmaya devam edebilmesi için dahili kısa devre izolatörüne sahip olacaktır. Modül TS EN 54-17 ve TS EN 54-18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diğer özellikler bakımından 35.410.2620 birim fiyat numarası ile aynı olan modülün temini, işyerine nakli her türlü ufak malzeme dahil, test edilerek çalışır halde teslimi.</v>
      </c>
      <c r="J397" t="str">
        <v>Ad</v>
      </c>
      <c r="K397" s="2">
        <v>5430.85</v>
      </c>
      <c r="L397" s="2">
        <v>662.14</v>
      </c>
      <c r="M397" s="1">
        <v>54</v>
      </c>
      <c r="N397" t="str">
        <v>elektrik</v>
      </c>
      <c r="O397" t="str">
        <v>35.410.2560 (52)</v>
      </c>
    </row>
    <row r="398" ht="30" customHeight="1" xml:space="preserve">
      <c r="A398" s="1">
        <v>382</v>
      </c>
      <c r="B398" s="1">
        <v>382</v>
      </c>
      <c r="C398" t="str" xml:space="preserve">
        <v xml:space="preserve">Adresli kısa devre izolatör_x000d_
modülü</v>
      </c>
      <c r="D398" t="str">
        <v>adet</v>
      </c>
      <c r="E398" s="1">
        <v>27</v>
      </c>
      <c r="F398" s="2">
        <v>2766.86</v>
      </c>
      <c r="G398" s="2">
        <f>IF(F398="","",E398*F398)</f>
        <v>74705.22</v>
      </c>
      <c r="H398" t="str">
        <v>35.410.2670</v>
      </c>
      <c r="I398" t="str">
        <v>Adresli kısa devre izolatör modülü (Ölçü: Ad.) Adresli yangın alarm santralının çevrimine bağlanacak kısa devre izolatörler kapalı bir çevrim olarak tesis edilen bir çevrimde dedektör, buton ve modüllerin arasına belirli aralıklarla bağlanarak bir kısa devre durumunda çevrimin tamamen devre dışı kalmasını önleyecektir. Daha sonra çevrimin her iki bağlantı noktasından başlayarak izalatörler sıra ile teker teker devreye girmeli ve arıza bölüme ulaşıncaya kadar bu işlem devam ederek arızalı kısımlar izole edilmelidir. İzalatör modülü bir yangın bölgesinden diğerine geçerken kullanılmalıdır. Modül TS EN 54-17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üretici firma mamülü olacaktır. Mikroişlemci kontrollü modülün temini, işyerine nakli her türlü ufak malzeme dahil, test edilerek çalışır halde teslimi.</v>
      </c>
      <c r="J398" t="str">
        <v>Ad</v>
      </c>
      <c r="K398" s="2">
        <v>2766.86</v>
      </c>
      <c r="L398" s="2">
        <v>662.14</v>
      </c>
      <c r="M398" s="1">
        <v>49</v>
      </c>
      <c r="N398" t="str">
        <v>elektrik</v>
      </c>
      <c r="O398" t="str">
        <v>35.410.2560 (45)</v>
      </c>
    </row>
    <row r="399" ht="45" customHeight="1">
      <c r="A399" s="1">
        <v>383</v>
      </c>
      <c r="B399" s="1">
        <v>383</v>
      </c>
      <c r="C399" t="str">
        <v>Adresli kısa devre izolatörlü çevrimden beslemeli yangın ihbar sireni (Ölçü: Adet):</v>
      </c>
      <c r="D399" t="str">
        <v>adet</v>
      </c>
      <c r="E399" s="1">
        <v>36</v>
      </c>
      <c r="F399" s="2">
        <v>5134.19</v>
      </c>
      <c r="G399" s="2">
        <f>IF(F399="","",E399*F399)</f>
        <v>184830.84</v>
      </c>
      <c r="H399" t="str">
        <v>35.410.3010</v>
      </c>
      <c r="I399" t="str">
        <v>Adresli kısa devre izolatörlü çevrimden beslemeli yangın ihbar sireni (Ölçü: Ad.): Adresli kısa devre çevrimden beslemeli yangın ihbar sireni çevrim hattında oluşabilecek kısa devre durumunda sistemin çalışmaya devam edebilmesi için dahili kısa devre izolatörüne sahip olacaktır. Modül TS EN 54-3 ve TS EN 54-17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diğer özellikler bakımından 35.410.3000 birim fiyat numarası ile aynı olan modülün temini, işyerine nakli her türlü ufak malzeme dahil, test edilerek çalışır halde teslimi.</v>
      </c>
      <c r="J399" t="str">
        <v>Ad</v>
      </c>
      <c r="K399" s="2">
        <v>5134.19</v>
      </c>
      <c r="L399" s="2">
        <v>446.64</v>
      </c>
      <c r="M399" s="1">
        <v>55</v>
      </c>
      <c r="N399" t="str">
        <v>elektrik</v>
      </c>
      <c r="O399" t="str">
        <v>35.410.3030 (51)</v>
      </c>
    </row>
    <row r="400" ht="30" customHeight="1" xml:space="preserve">
      <c r="A400" s="1">
        <v>384</v>
      </c>
      <c r="B400" s="1">
        <v>384</v>
      </c>
      <c r="C400" t="str" xml:space="preserve">
        <v xml:space="preserve">Anahtarlamalı güç kaynağı_x000d_
ünitesi, 10 Ah (TS EN 54-4)</v>
      </c>
      <c r="D400" t="str">
        <v>adet</v>
      </c>
      <c r="E400" s="1">
        <v>1</v>
      </c>
      <c r="F400" s="2">
        <v>16906.88</v>
      </c>
      <c r="G400" s="2">
        <f>IF(F400="","",E400*F400)</f>
        <v>16906.88</v>
      </c>
      <c r="H400" t="str">
        <v>35.410.6004</v>
      </c>
      <c r="I400" t="str">
        <v>Anahtarlamalı güç kaynağı ünitesi; 10 Ah</v>
      </c>
      <c r="J400" t="str">
        <v>Ad</v>
      </c>
      <c r="K400" s="2">
        <v>16906.88</v>
      </c>
      <c r="L400" s="2">
        <v>446.64</v>
      </c>
      <c r="M400" s="1">
        <v>83</v>
      </c>
      <c r="N400" t="str">
        <v>elektrik</v>
      </c>
      <c r="O400" t="str">
        <v>35.180.1501 (27)</v>
      </c>
    </row>
    <row r="401" ht="15" customHeight="1">
      <c r="A401" s="1">
        <v>385</v>
      </c>
      <c r="B401" s="1">
        <v>385</v>
      </c>
      <c r="C401" t="str">
        <v>Paralel ihbar lambası</v>
      </c>
      <c r="D401" t="str">
        <v>adet</v>
      </c>
      <c r="E401" s="1">
        <v>1</v>
      </c>
      <c r="F401" s="2">
        <v>666.49</v>
      </c>
      <c r="G401" s="2">
        <f>IF(F401="","",E401*F401)</f>
        <v>666.49</v>
      </c>
      <c r="H401" t="str">
        <v>35.415.1460</v>
      </c>
      <c r="I401" t="str">
        <v>Paralel ihbar lambası: (Ölçü: Ad.) Yangın alarm dedektörlerinin algılama yapmasıyla paralel ihbar lambası çıkışından gelen sinyalle çalışacaktır. Dedektörün üzerindeki göstergeyi (ışık (led)) görme ve izlemenin zor veya imkansız olduğu mahallerde kullanılacaktır. Paralel ihbar lambası üzerindeki gösterge (ışık (led)), izleme kolaylığı için kırmızı renkte ve 10 mm den küçük olmamalıdır. Paralel ihbar lambası ISO 9001 Kalite Yönetim Sistem belgelerine sahip üretici firma mamulü olacaktır. Paralel ihbar lambası temini, yerine montajı, bağlanması her nevi ufak malzeme ve işçilik dahil, çalışır halde teslimi.</v>
      </c>
      <c r="J401" t="str">
        <v>Ad</v>
      </c>
      <c r="K401" s="2">
        <v>666.49</v>
      </c>
      <c r="L401" s="2">
        <v>446.64</v>
      </c>
      <c r="M401" s="1">
        <v>50</v>
      </c>
      <c r="N401" t="str">
        <v>elektrik</v>
      </c>
      <c r="O401" t="str">
        <v>35.415.1450 (49)</v>
      </c>
    </row>
    <row r="402" ht="45" customHeight="1" xml:space="preserve">
      <c r="A402" s="1">
        <v>386</v>
      </c>
      <c r="B402" s="1">
        <v>386</v>
      </c>
      <c r="C402" t="str" xml:space="preserve">
        <v xml:space="preserve">Deprem hareketini algılayan_x000d_
otomatik gaz ve enerji kesme_x000d_
cihazı</v>
      </c>
      <c r="D402" t="str">
        <v>adet</v>
      </c>
      <c r="E402" s="1">
        <v>1</v>
      </c>
      <c r="F402" s="2">
        <v>9826.48</v>
      </c>
      <c r="G402" s="2">
        <f>IF(F402="","",E402*F402)</f>
        <v>9826.48</v>
      </c>
      <c r="H402" t="str">
        <v>35.420.2150</v>
      </c>
      <c r="I402" t="str">
        <v>Deprem hareketini algılayan otomatik gaz ve enerji kesme cihazı (Ölçü:Ad.) Deprem sarsıntısında TS standardında belirtilen ivme değerlerindeki sismik hareketleri algılayıp kontrol sinyalleri üreterek binanın elektrik enerjisini, doğalgaz / lpg gibi yanıcı ve parlayıcı gazları yakan cihazların gaz besleme hatlarını otomatik olarak kesen, jeneratörleri devre dışı bırakarak elektrik kesintilerinde otomatik olarak devreye girmelerini engelleyen, asansörleri acil mod durumuna alarak deprem anında asansörleri en yakın kata getirerek durmasını ve kapılarını açık tutarak hızlı tahliye yapılmasını sağlayan, deprem sırasında çalışması tehlike yaratabilecek diğer elektrikli cihazları otomatik olarak devreden çıkaran, deprem sonrası oluşacak zararları asgariye indiren, mikroprossesör kontrollu, aşırı yük koruma röle çıkışları olan, enerji verildiğinde ve reset durumunda kendi kendini test edebilen, deprem dışı hafif sarsıntılardan etkilenmeyen, TS 12884 standardına uygun, iki eksende ivme izleyebilen sensörlü, deprem anında sesli ve ışıklı uyarı verebilen, en az 24 saatlik elektrik kesintisinde sistemi besleyebilecek şarj edilebilir bataryası ve şarj devresi bulunan, cihaz üzerinden çalışma ve arıza durumları izlenebilen (led/display/lcd ekran v.b gibi), binanın mevcut güvenlik sistemleri yada sensörleri ile koordineli çalışabilen cihazın temini, işyerine nakli, bağlantılarının yapılması, her nevi malzeme ve işçilik dahil işler halde teslimi. NOT: Gaz kesme için kullanılacak elektrikli selenoid valf ilgili pozlardan ayrıca ödenir.</v>
      </c>
      <c r="J402" t="str">
        <v>Ad</v>
      </c>
      <c r="K402" s="2">
        <v>9826.48</v>
      </c>
      <c r="L402" s="2">
        <v>3312.41</v>
      </c>
      <c r="M402" s="1">
        <v>49</v>
      </c>
      <c r="N402" t="str">
        <v>elektrik</v>
      </c>
    </row>
    <row r="403" ht="45" customHeight="1" xml:space="preserve">
      <c r="A403" s="1">
        <v>387</v>
      </c>
      <c r="B403" s="1">
        <v>387</v>
      </c>
      <c r="C403" t="str" xml:space="preserve">
        <v xml:space="preserve">1 saat süreli çift yüzlü, kesintide yanan acil durum yönlendirme_x000d_
armatürü (Ledli)</v>
      </c>
      <c r="D403" t="str">
        <v>adet</v>
      </c>
      <c r="E403" s="1">
        <v>20</v>
      </c>
      <c r="F403" s="2">
        <v>2355.3</v>
      </c>
      <c r="G403" s="2">
        <f>IF(F403="","",E403*F403)</f>
        <v>47106</v>
      </c>
      <c r="H403" t="str">
        <v>35.440.2103</v>
      </c>
      <c r="I403" t="str">
        <v>1 saat süreli çift yüzlü, kesintide yanan acil durum yönlendirme armatürü (Ledli)</v>
      </c>
      <c r="J403" t="str">
        <v>Ad</v>
      </c>
      <c r="K403" s="2">
        <v>2355.3</v>
      </c>
      <c r="L403" s="2">
        <v>446.64</v>
      </c>
      <c r="M403" s="1">
        <v>96</v>
      </c>
      <c r="N403" t="str">
        <v>elektrik</v>
      </c>
      <c r="O403" t="str">
        <v>35.440.2101 (87)</v>
      </c>
    </row>
    <row r="404" ht="30" customHeight="1">
      <c r="A404" s="1">
        <v>388</v>
      </c>
      <c r="B404" s="1">
        <v>388</v>
      </c>
      <c r="C404" t="str">
        <v>Dış Ortam Bullet Kamera Tip-1: (Ölçü:Adet)</v>
      </c>
      <c r="D404" t="str">
        <v>adet</v>
      </c>
      <c r="E404" s="1">
        <v>25</v>
      </c>
      <c r="F404" s="2">
        <v>22762.63</v>
      </c>
      <c r="G404" s="2">
        <f>IF(F404="","",E404*F404)</f>
        <v>569065.75</v>
      </c>
      <c r="H404" t="str">
        <v>35.445.1100</v>
      </c>
      <c r="I404" t="str">
        <v>Dış Ortam Bullet Kamera Tip-1: (Ölçü:Ad.) Yüksek Çözünürlüklü, Renkli, Siyah/Beyaz, Gece/Gündüz Fonksiyonlu, en az 2 MP Bullet tipi IP Kamera, en az 1/3” ölçüsünde CMOS görüntü sensörüne sahip olacak ve progressive taramalı olacaktır. Kamera en az 30 metre gece görüşlü ve mekanik IR kesici filtreli olmalı, gerçek (true) Day/Night özelliğe sahip olmalıdır. Çözünürlük değeri Renkli ve Siyah/Beyaz için en az Full HD kalitesinde (1920x1080 pixel) her video stream için, minimum saniyede 25fps (resim/sn) veya 30 fps (resim/sn) görüntü akışı verebilmelidir. Kamera, görüş açısı 3,2 mm ile 9 mm arasında ayarlanabilen motorize lense sahip olmalıdır. Kamera otomatik backfokus (auto focus, remote focus) özelliğine sahip olmalıdır. Kamera H.265, H.264 ve MJPEG görüntü sıkıştırma formatlarını desteklemelidir. Kamera en az 120 dB WDR (Geniş Dinamik Işık Aralığı), ROI, 3D-DNR, BLC özelliklerini desteklemelidir. Kamera TS EN 60529 standardına göre en az IP66 koruma ve TS EN 62262 standardına göre en az IK10 mekanik dayanım derecelerine sahip olmalıdır. IEEE 802.3af veya IEEE 802.3at standartlarında Power over ethernet (PoE veya PoE+) desteği olmalıdır. Ayrıca 12/24 Volt DC harici besleme girişi olmalıdır. Kamera metal kasa olmalıdır. Elektromanyetik Uyumluluk Yönetmeliği'ne ve TS EN 55032, TS EN 55035 standartlarına uygun olarak CE işareti ile piyasaya arz edilmiş kameranın iş yerine nakli, montajı, her nevi montaj malzemeleri dahil işler halde teslimi.</v>
      </c>
      <c r="J404" t="str">
        <v>Ad</v>
      </c>
      <c r="K404" s="2">
        <v>22762.63</v>
      </c>
      <c r="L404" s="2">
        <v>1886.65</v>
      </c>
      <c r="M404" s="1">
        <v>41</v>
      </c>
      <c r="N404" t="str">
        <v>elektrik</v>
      </c>
      <c r="O404" t="str">
        <v>35.445.1200 (31)</v>
      </c>
    </row>
    <row r="405" ht="30" customHeight="1" xml:space="preserve">
      <c r="A405" s="1">
        <v>389</v>
      </c>
      <c r="B405" s="1">
        <v>389</v>
      </c>
      <c r="C405" t="str" xml:space="preserve">
        <v xml:space="preserve">En az 2 MP İç Ortam Dome_x000d_
Kamera</v>
      </c>
      <c r="D405" t="str">
        <v>adet</v>
      </c>
      <c r="E405" s="1">
        <v>83</v>
      </c>
      <c r="F405" s="2">
        <v>22017.04</v>
      </c>
      <c r="G405" s="2">
        <f>IF(F405="","",E405*F405)</f>
        <v>1827414.32</v>
      </c>
      <c r="H405" t="str">
        <v>35.445.1301</v>
      </c>
      <c r="I405" t="str">
        <v>En az 2 MP İç Ortam Dome Kamera</v>
      </c>
      <c r="J405" t="str">
        <v>Ad</v>
      </c>
      <c r="K405" s="2">
        <v>22017.04</v>
      </c>
      <c r="L405" s="2">
        <v>1886.65</v>
      </c>
      <c r="M405" s="1">
        <v>95</v>
      </c>
      <c r="N405" t="str">
        <v>elektrik</v>
      </c>
      <c r="O405" t="str">
        <v>35.445.1400 (27)</v>
      </c>
    </row>
    <row r="406" ht="45" customHeight="1" xml:space="preserve">
      <c r="A406" s="1">
        <v>390</v>
      </c>
      <c r="B406" s="1">
        <v>390</v>
      </c>
      <c r="C406" t="str" xml:space="preserve">
        <v xml:space="preserve">128 Kanal Ağ Kayıt Cihazı_x000d_
(Network Video Recorder) (Ölçü:Adet)</v>
      </c>
      <c r="D406" t="str">
        <v>adet</v>
      </c>
      <c r="E406" s="1">
        <v>1</v>
      </c>
      <c r="F406" s="2">
        <v>257431.48</v>
      </c>
      <c r="G406" s="2">
        <f>IF(F406="","",E406*F406)</f>
        <v>257431.48</v>
      </c>
      <c r="H406" t="str">
        <v>35.445.1505</v>
      </c>
      <c r="I406" t="str">
        <v>128 Kanal Ağ Kayıt Cihazı (Network Video Recorder) (Ölçü:Ad.) Cihaz 8MP kayıt desteğine sahip olmalı, en az 16 adet 2 MP kameranın aynı anda canlı izlenmesine olanak vermelidir. Cihaz en az 384 Mpbs boyutunda ağ bant genişliğine sahip olmalıdır. Cihazın üzerinde 10/100/1000 Mbit ethernet portu olmalıdır. Cihazda canlı izlemede ve kayıt izlemede dijital zoom yaparak görüntüyü yakınlaştırma özelliği olmalıdır. Cihazın yüksek çözünürlüklü HDMI çıkışı olmalıdır. Cihazda en az 1 adet VGA ekran çıkışı bulunmalıdır. Kayıt cihazında bilgisayar ile bağlantı sağlamak için Rs232 bağlantı portu bulunmalıdır. Kayıt cihazında Rs485 bağlantı bulunmalıdır. Kayıt cihazı H.265, H.264 ve MJPEG formatlarını desteklemelidir. Cihazda en az 16 harddisk girişi olmalıdır. Harddiskler cihazın ön panelinden Hot Swap olarak sökülüp takılabilen çekmeceli kasa yapısında olmalıdır. Cihazda en az 128 TB kayıt hafıza kapasitesine sahip harddisk olacaktır. Harddisk fiyata dahil değildir. 35.445.1800 pozundan ayrı olarak ödenebilir. Cihaz RAID5 veya RAID6 yapılandırma mimarisini desteklemelidir. Cihaz E-Sata çıkışına sahip olmalı ve bu sayede kayıt kapasitesi arttırılabilir yapıda olmalıdır. Kayıt cihazı üzerinde alarm girişi ve çıkışı olmalıdır. Cihaz aynı anda kayıt izleme, kayıt yapabilme, uzak bağlantı ve canlı izleme yapabilecek yapıda olmalıdır. Kayıt cihazı 2 adet yedekli güç kaynağına sahip olmalıdır. 2014/35/AB Belirli Gerilim Sınırları İçin Tasarlanan Elektrikli Ekipman ile ilgili yönetmeliğe uygun olarak CE uygunluk işaretiyle piyasaya arz edilmiş cihazın iş yerine nakli, montajı, her nevi ufak montaj malzemeleri dahil işler halde teslimi.</v>
      </c>
      <c r="J406" t="str">
        <v>Ad</v>
      </c>
      <c r="K406" s="2">
        <v>257431.48</v>
      </c>
      <c r="L406" s="2">
        <v>8818.04</v>
      </c>
      <c r="M406" s="1">
        <v>46</v>
      </c>
      <c r="N406" t="str">
        <v>elektrik</v>
      </c>
    </row>
    <row r="407" ht="90" customHeight="1" xml:space="preserve">
      <c r="A407" s="1">
        <v>391</v>
      </c>
      <c r="B407" s="1">
        <v>391</v>
      </c>
      <c r="C407" t="str" xml:space="preserve">
        <v xml:space="preserve">8 Port Yönetilebilir PoE Ağ Anahtarı, en az 8 adet 10/100/1000 Mbps Ethernet PoE portu, en az 2 adet 1000 Base-X SFP portu, en az 120W toplam_x000d_
PoE gücü</v>
      </c>
      <c r="D407" t="str">
        <v>adet</v>
      </c>
      <c r="E407" s="1">
        <v>2</v>
      </c>
      <c r="F407" s="2">
        <v>22114.18</v>
      </c>
      <c r="G407" s="2">
        <f>IF(F407="","",E407*F407)</f>
        <v>44228.36</v>
      </c>
      <c r="H407" t="str">
        <v>35.445.1601</v>
      </c>
      <c r="I407" t="str">
        <v>8 Port Yönetilebilir PoE Ağ Anahtarı, en az 8 adet 10/100/1000 Mbps Ethernet PoE portu, en az 2 adet 1000 Base-X SFP portu, en az 120W toplam PoE gücü</v>
      </c>
      <c r="J407" t="str">
        <v>Ad</v>
      </c>
      <c r="K407" s="2">
        <v>22114.18</v>
      </c>
      <c r="L407" s="2">
        <v>1656.2</v>
      </c>
      <c r="M407" s="1">
        <v>96</v>
      </c>
      <c r="N407" t="str">
        <v>elektrik</v>
      </c>
      <c r="O407" t="str">
        <v>35.446.1110 (93)</v>
      </c>
    </row>
    <row r="408" ht="90" customHeight="1" xml:space="preserve">
      <c r="A408" s="1">
        <v>392</v>
      </c>
      <c r="B408" s="1">
        <v>392</v>
      </c>
      <c r="C408" t="str" xml:space="preserve">
        <v xml:space="preserve">24 Port Yönetilebilir PoE Ağ Anahtarı, en az 24 adet 10/100/1000 Mbps Ethernet PoE portu, en az 4 adet 1000 Base-X_x000d_
SFP portu, en az 360W toplam PoE gücü, 28 aktif port</v>
      </c>
      <c r="D408" t="str">
        <v>adet</v>
      </c>
      <c r="E408" s="1">
        <v>3</v>
      </c>
      <c r="F408" s="2">
        <v>44603.43</v>
      </c>
      <c r="G408" s="2">
        <f>IF(F408="","",E408*F408)</f>
        <v>133810.29</v>
      </c>
      <c r="H408" t="str">
        <v>35.445.1603</v>
      </c>
      <c r="I408" t="str">
        <v>24 Port Yönetilebilir PoE Ağ Anahtarı, en az 24 adet 10/100/1000 Mbps Ethernet PoE portu, en az 4 adet 1000 Base-X SFP portu, en az 360W toplam PoE gücü, 28 aktif port</v>
      </c>
      <c r="J408" t="str">
        <v>Ad</v>
      </c>
      <c r="K408" s="2">
        <v>44603.43</v>
      </c>
      <c r="L408" s="2">
        <v>3053.46</v>
      </c>
      <c r="M408" s="1">
        <v>96</v>
      </c>
      <c r="N408" t="str">
        <v>elektrik</v>
      </c>
      <c r="O408" t="str">
        <v>35.446.1130 (94)</v>
      </c>
    </row>
    <row r="409" ht="90" customHeight="1" xml:space="preserve">
      <c r="A409" s="1">
        <v>393</v>
      </c>
      <c r="B409" s="1">
        <v>393</v>
      </c>
      <c r="C409" t="str" xml:space="preserve">
        <v xml:space="preserve">48 Port Yönetilebilir PoE Ağ Anahtarı, en az 48 adet 10/100/1000 Ethernet PoE portu, en az 4 adet 10 GB SFP portu, en az 600W toplam PoE gücü, 52_x000d_
aktif port</v>
      </c>
      <c r="D409" t="str">
        <v>adet</v>
      </c>
      <c r="E409" s="1">
        <v>8</v>
      </c>
      <c r="F409" s="2">
        <v>107174.55</v>
      </c>
      <c r="G409" s="2">
        <f>IF(F409="","",E409*F409)</f>
        <v>857396.4</v>
      </c>
      <c r="H409" t="str">
        <v>35.445.1610</v>
      </c>
      <c r="I409" t="str">
        <v>48 Port Yönetilebilir PoE Ağ Anahtarı, en az 48 adet 10/100/1000 Ethernet PoE portu, en az 4 adet 10 GB SFP portu, en az 600W toplam PoE gücü, 52 aktif port</v>
      </c>
      <c r="J409" t="str">
        <v>Ad</v>
      </c>
      <c r="K409" s="2">
        <v>107174.55</v>
      </c>
      <c r="L409" s="2">
        <v>3845.94</v>
      </c>
      <c r="M409" s="1">
        <v>96</v>
      </c>
      <c r="N409" t="str">
        <v>elektrik</v>
      </c>
      <c r="O409" t="str">
        <v>35.446.2140 (64)</v>
      </c>
    </row>
    <row r="410" ht="45" customHeight="1" xml:space="preserve">
      <c r="A410" s="1">
        <v>394</v>
      </c>
      <c r="B410" s="1">
        <v>394</v>
      </c>
      <c r="C410" t="str" xml:space="preserve">
        <v xml:space="preserve">8 TB, en az 7200 RPM, en az 512_x000d_
MB ön bellek / Harddisk / IP Kamera Sistemleri</v>
      </c>
      <c r="D410" t="str">
        <v>adet</v>
      </c>
      <c r="E410" s="1">
        <v>8</v>
      </c>
      <c r="F410" s="2">
        <v>17977.7</v>
      </c>
      <c r="G410" s="2">
        <f>IF(F410="","",E410*F410)</f>
        <v>143821.6</v>
      </c>
      <c r="H410" t="str">
        <v>35.445.1865</v>
      </c>
      <c r="I410" t="str">
        <v>8 TB, en az 7200 RPM, en az 512 MB ön bellek</v>
      </c>
      <c r="J410" t="str">
        <v>Ad</v>
      </c>
      <c r="K410" s="2">
        <v>17977.7</v>
      </c>
      <c r="L410" s="2">
        <v>509.55</v>
      </c>
      <c r="M410" s="1">
        <v>86</v>
      </c>
      <c r="N410" t="str">
        <v>elektrik</v>
      </c>
      <c r="O410" t="str">
        <v>35.445.1870 (68)</v>
      </c>
    </row>
    <row r="411" ht="45" customHeight="1" xml:space="preserve">
      <c r="A411" s="1">
        <v>395</v>
      </c>
      <c r="B411" s="1">
        <v>395</v>
      </c>
      <c r="C411" t="str" xml:space="preserve">
        <v xml:space="preserve">BiDi SFP-1G-BX20-D: TX 1310_x000d_
nm / RX 1550 nm, SM, 20 km /_x000d_
SFP Modülü / Ağ Sistemleri</v>
      </c>
      <c r="D411" t="str">
        <v>adet</v>
      </c>
      <c r="E411" s="1">
        <v>10</v>
      </c>
      <c r="F411" s="2">
        <v>4812.18</v>
      </c>
      <c r="G411" s="2">
        <f>IF(F411="","",E411*F411)</f>
        <v>48121.8</v>
      </c>
      <c r="H411" t="str">
        <v>35.446.6112</v>
      </c>
      <c r="I411" t="str">
        <v>BiDi SFP-1G-BX20-D: TX 1310 nm / RX 1550 nm, SM, 20 km</v>
      </c>
      <c r="J411" t="str">
        <v>Ad</v>
      </c>
      <c r="K411" s="2">
        <v>4812.18</v>
      </c>
      <c r="L411" s="2">
        <v>512.33</v>
      </c>
      <c r="M411" s="1">
        <v>91</v>
      </c>
      <c r="N411" t="str">
        <v>elektrik</v>
      </c>
      <c r="O411" t="str">
        <v>35.446.6113 (87)</v>
      </c>
    </row>
    <row r="412" ht="30" customHeight="1" xml:space="preserve">
      <c r="A412" s="1">
        <v>396</v>
      </c>
      <c r="B412" s="1">
        <v>396</v>
      </c>
      <c r="C412" t="str" xml:space="preserve">
        <v xml:space="preserve">SFP-10G-LR-SM, 1310nm, 10_x000d_
km / SFP Modülü / Ağ Sistemleri</v>
      </c>
      <c r="D412" t="str">
        <v>adet</v>
      </c>
      <c r="E412" s="1">
        <v>12</v>
      </c>
      <c r="F412" s="2">
        <v>7902.7</v>
      </c>
      <c r="G412" s="2">
        <f>IF(F412="","",E412*F412)</f>
        <v>94832.4</v>
      </c>
      <c r="H412" t="str">
        <v>35.446.6121</v>
      </c>
      <c r="I412" t="str">
        <v>SFP-10G-LR-SM, 1310nm, 10 km</v>
      </c>
      <c r="J412" t="str">
        <v>Ad</v>
      </c>
      <c r="K412" s="2">
        <v>7902.7</v>
      </c>
      <c r="L412" s="2">
        <v>512.33</v>
      </c>
      <c r="M412" s="1">
        <v>86</v>
      </c>
      <c r="N412" t="str">
        <v>elektrik</v>
      </c>
      <c r="O412" t="str">
        <v>35.446.6103 (43)</v>
      </c>
    </row>
    <row r="413" ht="45" customHeight="1" xml:space="preserve">
      <c r="A413" s="1">
        <v>397</v>
      </c>
      <c r="B413" s="1">
        <v>397</v>
      </c>
      <c r="C413" t="str" xml:space="preserve">
        <v xml:space="preserve">En az AX5400 En az 1 adet_x000d_
10M/100M/1G/2.5G Ethernet PoE+ destekli port</v>
      </c>
      <c r="D413" t="str">
        <v>adet</v>
      </c>
      <c r="E413" s="1">
        <v>21</v>
      </c>
      <c r="F413" s="2">
        <v>16645</v>
      </c>
      <c r="G413" s="2">
        <f>IF(F413="","",E413*F413)</f>
        <v>349545</v>
      </c>
      <c r="H413" t="str">
        <v>35.446.7127</v>
      </c>
      <c r="I413" t="str">
        <v>En az AX5400 En az 1 adet 10M/100M/1G/2.5G Ethernet PoE+ destekli port</v>
      </c>
      <c r="J413" t="str">
        <v>Ad</v>
      </c>
      <c r="K413" s="2">
        <v>16645</v>
      </c>
      <c r="L413" s="2">
        <v>947.85</v>
      </c>
      <c r="M413" s="1">
        <v>91</v>
      </c>
      <c r="N413" t="str">
        <v>elektrik</v>
      </c>
      <c r="O413" t="str">
        <v>35.446.7124 (70)</v>
      </c>
    </row>
    <row r="414" ht="15" customHeight="1">
      <c r="A414" s="1">
        <v>398</v>
      </c>
      <c r="B414" s="1">
        <v>398</v>
      </c>
      <c r="C414" t="str">
        <v>En az AX3000 En az 1 adet</v>
      </c>
      <c r="D414" t="str">
        <v>adet</v>
      </c>
      <c r="E414" s="1">
        <v>8</v>
      </c>
      <c r="F414" s="2">
        <v>8796.43</v>
      </c>
      <c r="G414" s="2">
        <f>IF(F414="","",E414*F414)</f>
        <v>70371.44</v>
      </c>
      <c r="H414" t="str">
        <v>35.446.7121</v>
      </c>
      <c r="I414" t="str">
        <v>En az AX3000 En az 1 adet 10/100/1000 Mbps Ethernet PoE+ destekli port</v>
      </c>
      <c r="J414" t="str">
        <v>Ad</v>
      </c>
      <c r="K414" s="2">
        <v>8796.43</v>
      </c>
      <c r="L414" s="2">
        <v>947.85</v>
      </c>
      <c r="M414" s="1">
        <v>68</v>
      </c>
      <c r="N414" t="str">
        <v>elektrik</v>
      </c>
      <c r="O414" t="str">
        <v>35.446.7215 (66)</v>
      </c>
    </row>
    <row r="415" ht="30" customHeight="1">
      <c r="C415" t="str">
        <v>10/100/1000 Mbps Ethernet PoE+ destekli port en az IP67</v>
      </c>
    </row>
    <row r="416" ht="30" customHeight="1">
      <c r="A416" s="1">
        <v>399</v>
      </c>
      <c r="B416" s="1">
        <v>399</v>
      </c>
      <c r="C416" t="str">
        <v>6.500 Ansı-Lümen, 1024×768 çözünürlükte projeksiyon</v>
      </c>
      <c r="D416" t="str">
        <v>adet</v>
      </c>
      <c r="E416" s="1">
        <v>3</v>
      </c>
      <c r="F416" s="2">
        <v>83553.43</v>
      </c>
      <c r="G416" s="2">
        <f>IF(F416="","",E416*F416)</f>
        <v>250660.29</v>
      </c>
      <c r="H416" t="str">
        <v>35.470.1008</v>
      </c>
      <c r="I416" t="str">
        <v>6500 Ansı-Lümen, 1024×768 çözünürlükte projeksiyon</v>
      </c>
      <c r="J416" t="str">
        <v>Ad</v>
      </c>
      <c r="K416" s="2">
        <v>83553.43</v>
      </c>
      <c r="L416" s="2">
        <v>3746.9</v>
      </c>
      <c r="M416" s="1">
        <v>93</v>
      </c>
      <c r="N416" t="str">
        <v>elektrik</v>
      </c>
      <c r="O416" t="str">
        <v>35.470.1001 (67)</v>
      </c>
    </row>
    <row r="417" ht="15" customHeight="1">
      <c r="A417" s="1">
        <v>400</v>
      </c>
      <c r="B417" s="1">
        <v>400</v>
      </c>
      <c r="C417" t="str">
        <v>350×265 Motorlu perde</v>
      </c>
      <c r="D417" t="str">
        <v>adet</v>
      </c>
      <c r="E417" s="1">
        <v>3</v>
      </c>
      <c r="F417" s="2">
        <v>14918.99</v>
      </c>
      <c r="G417" s="2">
        <f>IF(F417="","",E417*F417)</f>
        <v>44756.97</v>
      </c>
      <c r="H417" t="str">
        <v>35.470.3004</v>
      </c>
      <c r="I417" t="str">
        <v>350×265Motorlu perde</v>
      </c>
      <c r="J417" t="str">
        <v>Ad</v>
      </c>
      <c r="K417" s="2">
        <v>14918.99</v>
      </c>
      <c r="L417" s="2">
        <v>3003.79</v>
      </c>
      <c r="M417" s="1">
        <v>84</v>
      </c>
      <c r="N417" t="str">
        <v>elektrik</v>
      </c>
    </row>
    <row r="418" ht="15" customHeight="1">
      <c r="A418" s="1">
        <v>401</v>
      </c>
      <c r="B418" s="1">
        <v>401</v>
      </c>
      <c r="C418" t="str">
        <v>500×375 Motorlu perde</v>
      </c>
      <c r="D418" t="str">
        <v>adet</v>
      </c>
      <c r="E418" s="1">
        <v>2</v>
      </c>
      <c r="F418" s="2">
        <v>24654.06</v>
      </c>
      <c r="G418" s="2">
        <f>IF(F418="","",E418*F418)</f>
        <v>49308.12</v>
      </c>
      <c r="H418" t="str">
        <v>35.470.3007</v>
      </c>
      <c r="I418" t="str">
        <v>500×375 Motorlu perde</v>
      </c>
      <c r="J418" t="str">
        <v>Ad</v>
      </c>
      <c r="K418" s="2">
        <v>24654.06</v>
      </c>
      <c r="L418" s="2">
        <v>4039.58</v>
      </c>
      <c r="M418" s="1">
        <v>84</v>
      </c>
      <c r="N418" t="str">
        <v>elektrik</v>
      </c>
    </row>
    <row r="419" ht="120" customHeight="1" xml:space="preserve">
      <c r="A419" s="1">
        <v>402</v>
      </c>
      <c r="B419" s="1">
        <v>402</v>
      </c>
      <c r="C419" t="str" xml:space="preserve">
        <v xml:space="preserve">Cat Ara Kablo (Patch Cord) Fiyat Farkı: (Ölçü: Ad.) İki ucunda RJ- 45 konnektörü bulunan, fabrikasyon sonladırma ile sonlandırılmıiş cat ara network kablosu için fiyat farkı. Kablonun cinsine göre 35.505.2000 veya_x000d_
35.515.7000'den ödeme yapılır.</v>
      </c>
      <c r="D419" t="str">
        <v>adet</v>
      </c>
      <c r="E419" s="1">
        <v>400</v>
      </c>
      <c r="F419" s="2">
        <v>214.59</v>
      </c>
      <c r="G419" s="2">
        <f>IF(F419="","",E419*F419)</f>
        <v>85836</v>
      </c>
      <c r="H419" t="str">
        <v>35.505.2100</v>
      </c>
      <c r="I419" t="str">
        <v>Cat Ara Kablo (Patch Cord) Fiyat Farkı: (Ölçü: Ad.) İki ucunda RJ-45 konnektörü bulunan, fabrikasyon sonladırma ile sonlandırılmıiş cat ara network kablosu için fiyat farkı. Kablonun cinsine göre 35.505.2000 veya 35.515.7000'den ödeme yapılır.</v>
      </c>
      <c r="J419" t="str">
        <v>Ad</v>
      </c>
      <c r="K419" s="2">
        <v>214.59</v>
      </c>
      <c r="L419" s="2">
        <v>0</v>
      </c>
      <c r="M419" s="1">
        <v>98</v>
      </c>
      <c r="N419" t="str">
        <v>elektrik</v>
      </c>
    </row>
    <row r="420" ht="15" customHeight="1">
      <c r="A420" s="1">
        <v>403</v>
      </c>
      <c r="B420" s="1">
        <v>403</v>
      </c>
      <c r="C420" t="str">
        <v>Utp Cat 6 Sıva Altı Tekli Priz</v>
      </c>
      <c r="D420" t="str">
        <v>adet</v>
      </c>
      <c r="E420" s="1">
        <v>22</v>
      </c>
      <c r="F420" s="2">
        <v>576.24</v>
      </c>
      <c r="G420" s="2">
        <f>IF(F420="","",E420*F420)</f>
        <v>12677.28</v>
      </c>
      <c r="H420" t="str">
        <v>35.505.6200</v>
      </c>
      <c r="I420" t="str">
        <v>Utp Cat 6 Sıva Altı Tekli Priz :(Ölçü :ad.) Yerel alan ağlarında (LAN) yatay kurulumlar için bilgisayarlar arası 250 Mhz bandgenişliği ve 250 Mbps hızındaki veri iletişiminde kullanılan CAT6 Standartlarında , RJ-45 8 kontaklı çekirdekli, Jack Temas Noktası İletkenliği yüksek evsafta bir malzeme ile kaplı olacaktır.Ekranlanmamış , ANSI/TIA/EIA-568B.2 , ISO/IEC -11801 Standartlarına uygun, ISO belgeli , Sıva altı , tek portlu , PVC Çerçeve, Priz Kutusu, yaylı priz kapağı,Etiket, işçilik, montaj,test,nakliye dahil .</v>
      </c>
      <c r="J420" t="str">
        <v>ad</v>
      </c>
      <c r="K420" s="2">
        <v>576.24</v>
      </c>
      <c r="L420" s="2">
        <v>305.53</v>
      </c>
      <c r="M420" s="1">
        <v>55</v>
      </c>
      <c r="N420" t="str">
        <v>elektrik</v>
      </c>
      <c r="O420" t="str">
        <v>35.545.8115 (44)</v>
      </c>
    </row>
    <row r="421" ht="15" customHeight="1">
      <c r="A421" s="1">
        <v>404</v>
      </c>
      <c r="B421" s="1">
        <v>404</v>
      </c>
      <c r="C421" t="str">
        <v>Utp Cat 6 Sıva Altı İkili Priz</v>
      </c>
      <c r="D421" t="str">
        <v>adet</v>
      </c>
      <c r="E421" s="1">
        <v>42</v>
      </c>
      <c r="F421" s="2">
        <v>804.13</v>
      </c>
      <c r="G421" s="2">
        <f>IF(F421="","",E421*F421)</f>
        <v>33773.46</v>
      </c>
      <c r="H421" t="str">
        <v>35.505.6210</v>
      </c>
      <c r="I421" t="str">
        <v>Utp Cat 6 Sıva Altı İkili Priz :(Ölçü :ad.) Yerel alan ağlarında (LAN) yatay kurulumlar için bilgisayarlar arası 250 Mhz bandgenişliği ve 250 Mbps hızındaki veri iletişiminde kullanılan CAT 6 Standartlarında , RJ-45 8 kontaklı çekirdekli, Jack Temas Noktası İletkenliği yüksek evsafta bir malzeme ile kaplı olacaktır.Ekranlanmamış , ANSI/TIA/EIA-568B.2 , ISO/IEC -11801 Standartlarına uyunlu, Sıva altı , İki portlu , PVC Çerçeve, Priz Kutusu, yaylı priz kapağı,Etiket, işçilik, montaj,test,nakliye dahil .</v>
      </c>
      <c r="J421" t="str">
        <v>ad</v>
      </c>
      <c r="K421" s="2">
        <v>804.13</v>
      </c>
      <c r="L421" s="2">
        <v>305.53</v>
      </c>
      <c r="M421" s="1">
        <v>55</v>
      </c>
      <c r="N421" t="str">
        <v>elektrik</v>
      </c>
      <c r="O421" t="str">
        <v>35.545.8120 (44)</v>
      </c>
    </row>
    <row r="422" ht="15" customHeight="1">
      <c r="A422" s="1">
        <v>405</v>
      </c>
      <c r="B422" s="1">
        <v>405</v>
      </c>
      <c r="C422" t="str">
        <v>24 Portlu, Utp Cat6 Patch Panel</v>
      </c>
      <c r="D422" t="str">
        <v>adet</v>
      </c>
      <c r="E422" s="1">
        <v>2</v>
      </c>
      <c r="F422" s="2">
        <v>4239.43</v>
      </c>
      <c r="G422" s="2">
        <f>IF(F422="","",E422*F422)</f>
        <v>8478.86</v>
      </c>
      <c r="H422" t="str">
        <v>35.505.7101</v>
      </c>
      <c r="I422" t="str">
        <v>24 Portlu</v>
      </c>
      <c r="J422" t="str">
        <v>ad</v>
      </c>
      <c r="K422" s="2">
        <v>4239.43</v>
      </c>
      <c r="L422" s="2">
        <v>1656.2</v>
      </c>
      <c r="M422" s="1">
        <v>41</v>
      </c>
      <c r="N422" t="str">
        <v>elektrik</v>
      </c>
      <c r="O422" t="str">
        <v>35.505.7301 (41)</v>
      </c>
    </row>
    <row r="423" ht="15" customHeight="1">
      <c r="A423" s="1">
        <v>406</v>
      </c>
      <c r="B423" s="1">
        <v>406</v>
      </c>
      <c r="C423" t="str">
        <v>48 Portlu, Utp Cat6 Patch Panel</v>
      </c>
      <c r="D423" t="str">
        <v>adet</v>
      </c>
      <c r="E423" s="1">
        <v>7</v>
      </c>
      <c r="F423" s="2">
        <v>6552.95</v>
      </c>
      <c r="G423" s="2">
        <f>IF(F423="","",E423*F423)</f>
        <v>45870.65</v>
      </c>
      <c r="H423" t="str">
        <v>35.505.7102</v>
      </c>
      <c r="I423" t="str">
        <v>48 Portlu</v>
      </c>
      <c r="J423" t="str">
        <v>ad</v>
      </c>
      <c r="K423" s="2">
        <v>6552.95</v>
      </c>
      <c r="L423" s="2">
        <v>1656.2</v>
      </c>
      <c r="M423" s="1">
        <v>42</v>
      </c>
      <c r="N423" t="str">
        <v>elektrik</v>
      </c>
      <c r="O423" t="str">
        <v>35.505.7302 (41)</v>
      </c>
    </row>
    <row r="424" ht="60" customHeight="1" xml:space="preserve">
      <c r="A424" s="1">
        <v>407</v>
      </c>
      <c r="B424" s="1">
        <v>407</v>
      </c>
      <c r="C424" t="str" xml:space="preserve">
        <v xml:space="preserve">1x2x0.8+0.8 mm², JH(St) H_x000d_
HALOJENSİZ YANGIN_x000d_
ALARM KABLOLARI (VDE 0815)</v>
      </c>
      <c r="D424" t="str">
        <v>metre</v>
      </c>
      <c r="E424" s="4">
        <v>1000</v>
      </c>
      <c r="F424" s="2">
        <v>83</v>
      </c>
      <c r="G424" s="2">
        <f>IF(F424="","",E424*F424)</f>
        <v>83000</v>
      </c>
      <c r="H424" t="str">
        <v>35.515.1001</v>
      </c>
      <c r="I424" t="str">
        <v>1 x 2 x 0.8 + 0.8 mm2</v>
      </c>
      <c r="J424" t="str">
        <v>m</v>
      </c>
      <c r="K424" s="2">
        <v>83</v>
      </c>
      <c r="L424" s="2">
        <v>58.66</v>
      </c>
      <c r="M424" s="1">
        <v>53</v>
      </c>
      <c r="N424" t="str">
        <v>elektrik</v>
      </c>
      <c r="O424" t="str">
        <v>35.530.6101 (52)</v>
      </c>
    </row>
    <row r="425" ht="45" customHeight="1" xml:space="preserve">
      <c r="A425" s="1">
        <v>408</v>
      </c>
      <c r="B425" s="1">
        <v>408</v>
      </c>
      <c r="C425" t="str" xml:space="preserve">
        <v xml:space="preserve">Ftp Cat 6H HALOJEN FREE_x000d_
4x2x23 AWG, BAKIR DATA KABLOLARI</v>
      </c>
      <c r="D425" t="str">
        <v>metre</v>
      </c>
      <c r="E425" s="4">
        <v>18000</v>
      </c>
      <c r="F425" s="2">
        <v>101.55</v>
      </c>
      <c r="G425" s="2">
        <f>IF(F425="","",E425*F425)</f>
        <v>1827900</v>
      </c>
      <c r="H425" t="str">
        <v>35.515.7040</v>
      </c>
      <c r="I425" t="str">
        <v>F/UTP Cat 6 HALOJEN FREE 4X2X23 AWG (Yangına Tepki Performansı: Cca):</v>
      </c>
      <c r="J425" t="str">
        <v>m</v>
      </c>
      <c r="K425" s="2">
        <v>101.55</v>
      </c>
      <c r="L425" s="2">
        <v>58.66</v>
      </c>
      <c r="M425" s="1">
        <v>75</v>
      </c>
      <c r="N425" t="str">
        <v>elektrik</v>
      </c>
      <c r="O425" t="str">
        <v>35.530.1120 (74)</v>
      </c>
    </row>
    <row r="426" ht="75" customHeight="1" xml:space="preserve">
      <c r="A426" s="1">
        <v>409</v>
      </c>
      <c r="B426" s="1">
        <v>409</v>
      </c>
      <c r="C426" t="str" xml:space="preserve">
        <v xml:space="preserve">1x2x1,5+0,8 mm², JE-H(St) H FE180 PH120 YANGINA DAYANIKLI HALOJENSİZ YANGIN ALARM_x000d_
KABLOLARI (VDE 0815)</v>
      </c>
      <c r="D426" t="str">
        <v>metre</v>
      </c>
      <c r="E426" s="1">
        <v>700</v>
      </c>
      <c r="F426" s="2">
        <v>129.73</v>
      </c>
      <c r="G426" s="2">
        <f>IF(F426="","",E426*F426)</f>
        <v>90811</v>
      </c>
      <c r="H426" t="str">
        <v>35.520.5011</v>
      </c>
      <c r="I426" t="str">
        <v>1x2x1,5+0,8 mm2</v>
      </c>
      <c r="J426" t="str">
        <v>m</v>
      </c>
      <c r="K426" s="2">
        <v>129.73</v>
      </c>
      <c r="L426" s="2">
        <v>69.03</v>
      </c>
      <c r="M426" s="1">
        <v>80</v>
      </c>
      <c r="N426" t="str">
        <v>elektrik</v>
      </c>
      <c r="O426" t="str">
        <v>35.520.5012 (70)</v>
      </c>
    </row>
    <row r="427" ht="45" customHeight="1" xml:space="preserve">
      <c r="A427" s="1">
        <v>410</v>
      </c>
      <c r="B427" s="1">
        <v>410</v>
      </c>
      <c r="C427" t="str" xml:space="preserve">
        <v xml:space="preserve">2x1,5 mm², LIH(St) H HALOJEN_x000d_
FREE SİNYAL ve KUMANDA_x000d_
KABLOSU (VDE 0815</v>
      </c>
      <c r="D427" t="str">
        <v>metre</v>
      </c>
      <c r="E427" s="4">
        <v>2500</v>
      </c>
      <c r="F427" s="2">
        <v>122.21</v>
      </c>
      <c r="G427" s="2">
        <f>IF(F427="","",E427*F427)</f>
        <v>305525</v>
      </c>
      <c r="H427" t="str">
        <v>35.515.4033</v>
      </c>
      <c r="I427" t="str">
        <v>2X1,5 mm2</v>
      </c>
      <c r="J427" t="str">
        <v>m</v>
      </c>
      <c r="K427" s="2">
        <v>122.21</v>
      </c>
      <c r="L427" s="2">
        <v>62.98</v>
      </c>
      <c r="M427" s="1">
        <v>61</v>
      </c>
      <c r="N427" t="str">
        <v>elektrik</v>
      </c>
      <c r="O427" t="str">
        <v>35.531.4034 (61)</v>
      </c>
    </row>
    <row r="428" ht="75" customHeight="1" xml:space="preserve">
      <c r="A428" s="1">
        <v>411</v>
      </c>
      <c r="B428" s="1">
        <v>411</v>
      </c>
      <c r="C428" t="str" xml:space="preserve">
        <v xml:space="preserve">1,5 metre 4K(3840x2160)60Hz_x000d_
HDMI 2.0 kablo / HDMI 2.0_x000d_
Görüntü ve Ses Aktarım Kablosu_x000d_
/ Hdmı Kablo ve Bağlantı_x000d_
Ürünleri</v>
      </c>
      <c r="D428" t="str">
        <v>metre</v>
      </c>
      <c r="E428" s="1">
        <v>6</v>
      </c>
      <c r="F428" s="2">
        <v>387.14</v>
      </c>
      <c r="G428" s="2">
        <f>IF(F428="","",E428*F428)</f>
        <v>2322.84</v>
      </c>
      <c r="H428" t="str">
        <v>35.525.1110</v>
      </c>
      <c r="I428" t="str">
        <v>1,5 metre 4K(3840x2160)60Hz HDMI 2.0 kablo</v>
      </c>
      <c r="J428" t="str">
        <v>m</v>
      </c>
      <c r="K428" s="2">
        <v>387.14</v>
      </c>
      <c r="L428" s="2">
        <v>77.93</v>
      </c>
      <c r="M428" s="1">
        <v>91</v>
      </c>
      <c r="N428" t="str">
        <v>elektrik</v>
      </c>
      <c r="O428" t="str">
        <v>35.525.1115 (80)</v>
      </c>
    </row>
    <row r="429" ht="75" customHeight="1" xml:space="preserve">
      <c r="A429" s="1">
        <v>412</v>
      </c>
      <c r="B429" s="1">
        <v>412</v>
      </c>
      <c r="C429" t="str" xml:space="preserve">
        <v xml:space="preserve">3 metre 4K(3840x2160)60Hz_x000d_
HDMI 2.0 kablo / HDMI 2.0_x000d_
Görüntü ve Ses Aktarım Kablosu_x000d_
/ Hdmı Kablo ve Bağlantı_x000d_
Ürünleri</v>
      </c>
      <c r="D429" t="str">
        <v>metre</v>
      </c>
      <c r="E429" s="1">
        <v>2</v>
      </c>
      <c r="F429" s="2">
        <v>450.48</v>
      </c>
      <c r="G429" s="2">
        <f>IF(F429="","",E429*F429)</f>
        <v>900.96</v>
      </c>
      <c r="H429" t="str">
        <v>35.525.1115</v>
      </c>
      <c r="I429" t="str">
        <v>3 metre 4K(3840x2160)60Hz HDMI 2.0 kablo</v>
      </c>
      <c r="J429" t="str">
        <v>m</v>
      </c>
      <c r="K429" s="2">
        <v>450.48</v>
      </c>
      <c r="L429" s="2">
        <v>77.93</v>
      </c>
      <c r="M429" s="1">
        <v>91</v>
      </c>
      <c r="N429" t="str">
        <v>elektrik</v>
      </c>
      <c r="O429" t="str">
        <v>35.525.1120 (80)</v>
      </c>
    </row>
    <row r="430" ht="75" customHeight="1" xml:space="preserve">
      <c r="A430" s="1">
        <v>413</v>
      </c>
      <c r="B430" s="1">
        <v>413</v>
      </c>
      <c r="C430" t="str" xml:space="preserve">
        <v xml:space="preserve">5 metre 4K(3840x2160)60Hz_x000d_
HDMI 2.0 kablo / HDMI 2.0_x000d_
Görüntü ve Ses Aktarım Kablosu_x000d_
/ Hdmı Kablo ve Bağlantı_x000d_
Ürünleri</v>
      </c>
      <c r="D430" t="str">
        <v>metre</v>
      </c>
      <c r="E430" s="1">
        <v>2</v>
      </c>
      <c r="F430" s="2">
        <v>511.33</v>
      </c>
      <c r="G430" s="2">
        <f>IF(F430="","",E430*F430)</f>
        <v>1022.66</v>
      </c>
      <c r="H430" t="str">
        <v>35.525.1120</v>
      </c>
      <c r="I430" t="str">
        <v>5 metre 4K(3840x2160)60Hz HDMI 2.0 kablo</v>
      </c>
      <c r="J430" t="str">
        <v>m</v>
      </c>
      <c r="K430" s="2">
        <v>511.33</v>
      </c>
      <c r="L430" s="2">
        <v>77.93</v>
      </c>
      <c r="M430" s="1">
        <v>91</v>
      </c>
      <c r="N430" t="str">
        <v>elektrik</v>
      </c>
      <c r="O430" t="str">
        <v>35.525.1115 (80)</v>
      </c>
    </row>
    <row r="431" ht="75" customHeight="1" xml:space="preserve">
      <c r="A431" s="1">
        <v>414</v>
      </c>
      <c r="B431" s="1">
        <v>414</v>
      </c>
      <c r="C431" t="str" xml:space="preserve">
        <v xml:space="preserve">10 metre 4K(3840x2160)30Hz_x000d_
HDMI 2.0 kablo / HDMI 2.0_x000d_
Görüntü ve Ses Aktarım Kablosu_x000d_
/ Hdmı Kablo ve Bağlantı_x000d_
Ürünleri</v>
      </c>
      <c r="D431" t="str">
        <v>metre</v>
      </c>
      <c r="E431" s="1">
        <v>2</v>
      </c>
      <c r="F431" s="2">
        <v>958.95</v>
      </c>
      <c r="G431" s="2">
        <f>IF(F431="","",E431*F431)</f>
        <v>1917.9</v>
      </c>
      <c r="H431" t="str">
        <v>35.525.1125</v>
      </c>
      <c r="I431" t="str">
        <v>10 metre 4K(3840x2160)30Hz HDMI 2.0 kablo</v>
      </c>
      <c r="J431" t="str">
        <v>m</v>
      </c>
      <c r="K431" s="2">
        <v>958.95</v>
      </c>
      <c r="L431" s="2">
        <v>153</v>
      </c>
      <c r="M431" s="1">
        <v>91</v>
      </c>
      <c r="N431" t="str">
        <v>elektrik</v>
      </c>
      <c r="O431" t="str">
        <v>35.525.1135 (80)</v>
      </c>
    </row>
    <row r="432" ht="75" customHeight="1" xml:space="preserve">
      <c r="A432" s="1">
        <v>415</v>
      </c>
      <c r="B432" s="1">
        <v>415</v>
      </c>
      <c r="C432" t="str" xml:space="preserve">
        <v xml:space="preserve">20 metre 4K(3840x2160)30Hz_x000d_
HDMI 2.0 kablo / HDMI 2.0_x000d_
Görüntü ve Ses Aktarım Kablosu_x000d_
/ Hdmı Kablo ve Bağlantı_x000d_
Ürünleri</v>
      </c>
      <c r="D432" t="str">
        <v>metre</v>
      </c>
      <c r="E432" s="1">
        <v>3</v>
      </c>
      <c r="F432" s="2">
        <v>1641.98</v>
      </c>
      <c r="G432" s="2">
        <f>IF(F432="","",E432*F432)</f>
        <v>4925.94</v>
      </c>
      <c r="H432" t="str">
        <v>35.525.1135</v>
      </c>
      <c r="I432" t="str">
        <v>20 metre 4K(3840x2160)30Hz HDMI 2.0 kablo</v>
      </c>
      <c r="J432" t="str">
        <v>m</v>
      </c>
      <c r="K432" s="2">
        <v>1641.98</v>
      </c>
      <c r="L432" s="2">
        <v>153</v>
      </c>
      <c r="M432" s="1">
        <v>91</v>
      </c>
      <c r="N432" t="str">
        <v>elektrik</v>
      </c>
      <c r="O432" t="str">
        <v>35.525.1125 (80)</v>
      </c>
    </row>
    <row r="433" ht="30" customHeight="1">
      <c r="A433" s="1">
        <v>416</v>
      </c>
      <c r="B433" s="1">
        <v>416</v>
      </c>
      <c r="C433" t="str">
        <v>Gömme HDMI Priz / Hdmı Kablo ve Bağlantı Ürünleri</v>
      </c>
      <c r="D433" t="str">
        <v>adet</v>
      </c>
      <c r="E433" s="1">
        <v>3</v>
      </c>
      <c r="F433" s="2">
        <v>1018.29</v>
      </c>
      <c r="G433" s="2">
        <f>IF(F433="","",E433*F433)</f>
        <v>3054.87</v>
      </c>
      <c r="H433" t="str">
        <v>35.525.1910</v>
      </c>
      <c r="I433" t="str">
        <v>Gömme HDMI Priz: (Ölçü: Ad.) Konnektör uçları altın kaplamalı veya oksidasyona dayanıklı, konnektör tipi A olan, yanmayan malzemeden gövdeli gömme HDMI prizin temini, çerçeve, kasa, işyerine nakli, her nevi ufak malzeme ve işcilik dahil yerine montajı.</v>
      </c>
      <c r="J433" t="str">
        <v>Ad</v>
      </c>
      <c r="K433" s="2">
        <v>1018.29</v>
      </c>
      <c r="L433" s="2">
        <v>305.53</v>
      </c>
      <c r="M433" s="1">
        <v>47</v>
      </c>
      <c r="N433" t="str">
        <v>elektrik</v>
      </c>
    </row>
    <row r="434" ht="45" customHeight="1" xml:space="preserve">
      <c r="A434" s="1">
        <v>417</v>
      </c>
      <c r="B434" s="1">
        <v>417</v>
      </c>
      <c r="C434" t="str" xml:space="preserve">
        <v xml:space="preserve">Cat 6 Kablo HDMI Dönüştürücü (Extender) / Hdmı Kablo ve_x000d_
Bağlantı Ürünleri</v>
      </c>
      <c r="D434" t="str">
        <v>adet</v>
      </c>
      <c r="E434" s="1">
        <v>4</v>
      </c>
      <c r="F434" s="2">
        <v>1382.83</v>
      </c>
      <c r="G434" s="2">
        <f>IF(F434="","",E434*F434)</f>
        <v>5531.32</v>
      </c>
      <c r="H434" t="str">
        <v>35.525.1920</v>
      </c>
      <c r="I434" t="str">
        <v>Cat 6 Kablo HDMI Dönüştürücü (Extender): (Ölçü: Ad.) Ses ve görüntü sinyallerini HDMI çıkışlı cihazdan alarak uzun mesafelere Cat 6 kablo ile taşınmasını sağlayan dönüştürücünün bir ucu HDMI tip A konnektörlü, diğer ucu RJ45 tipi konnektörlü olmalıdır. Dönüştürücü Cat 6 kablonun giriş ve çıkışlarında kullanılmak üzere iki adettir. 1080p 60 Hz gibi yüksek çözünürlüklü görüntüleri 50 metreye kadar sinyal kaybı olmadan ileten Cat 6 kablo HDMI dönüştürücünün temini, işyerine nakli, her nevi ufak malzeme ve işcilik dahil teslim edilmesi.</v>
      </c>
      <c r="J434" t="str">
        <v>Ad</v>
      </c>
      <c r="K434" s="2">
        <v>1382.83</v>
      </c>
      <c r="L434" s="2">
        <v>77.93</v>
      </c>
      <c r="M434" s="1">
        <v>45</v>
      </c>
      <c r="N434" t="str">
        <v>elektrik</v>
      </c>
    </row>
    <row r="435" ht="30" customHeight="1" xml:space="preserve">
      <c r="A435" s="1">
        <v>418</v>
      </c>
      <c r="B435" s="1">
        <v>418</v>
      </c>
      <c r="C435" t="str" xml:space="preserve">
        <v xml:space="preserve">Çok Tüplü 24 fiberli 2x12 9/125_x000d_
SM Zırhlı LSOH F/O Kablo</v>
      </c>
      <c r="D435" t="str">
        <v>metre</v>
      </c>
      <c r="E435" s="1">
        <v>550</v>
      </c>
      <c r="F435" s="2">
        <v>196.55</v>
      </c>
      <c r="G435" s="2">
        <f>IF(F435="","",E435*F435)</f>
        <v>108102.5</v>
      </c>
      <c r="H435" t="str">
        <v>35.540.4007</v>
      </c>
      <c r="I435" t="str">
        <v>Çok Tüplü 24 fiberli 2x12 9/125 SM Zırhlı LSOH F/O Kablo</v>
      </c>
      <c r="J435" t="str">
        <v>m</v>
      </c>
      <c r="K435" s="2">
        <v>196.55</v>
      </c>
      <c r="L435" s="2">
        <v>106.15</v>
      </c>
      <c r="M435" s="1">
        <v>95</v>
      </c>
      <c r="N435" t="str">
        <v>elektrik</v>
      </c>
      <c r="O435" t="str">
        <v>35.540.2007 (85)</v>
      </c>
    </row>
    <row r="436" ht="15" customHeight="1">
      <c r="A436" s="1">
        <v>419</v>
      </c>
      <c r="B436" s="1">
        <v>419</v>
      </c>
      <c r="C436" t="str">
        <v>SM LC pigtail, PIGTAIL</v>
      </c>
      <c r="D436" t="str">
        <v>adet</v>
      </c>
      <c r="E436" s="1">
        <v>48</v>
      </c>
      <c r="F436" s="2">
        <v>274.2</v>
      </c>
      <c r="G436" s="2">
        <f>IF(F436="","",E436*F436)</f>
        <v>13161.6</v>
      </c>
      <c r="H436" t="str">
        <v>35.545.1001</v>
      </c>
      <c r="I436" t="str">
        <v>SM LC pigtail</v>
      </c>
      <c r="J436" t="str">
        <v>Ad</v>
      </c>
      <c r="K436" s="2">
        <v>274.2</v>
      </c>
      <c r="L436" s="2">
        <v>77.93</v>
      </c>
      <c r="M436" s="1">
        <v>70</v>
      </c>
      <c r="N436" t="str">
        <v>elektrik</v>
      </c>
      <c r="O436" t="str">
        <v>35.545.1006 (51)</v>
      </c>
    </row>
    <row r="437" ht="30" customHeight="1">
      <c r="A437" s="1">
        <v>420</v>
      </c>
      <c r="B437" s="1">
        <v>420</v>
      </c>
      <c r="C437" t="str">
        <v>SM LC-LC patchcord, 3MT SM PATCHCORDLAR</v>
      </c>
      <c r="D437" t="str">
        <v>adet</v>
      </c>
      <c r="E437" s="1">
        <v>10</v>
      </c>
      <c r="F437" s="2">
        <v>411.79</v>
      </c>
      <c r="G437" s="2">
        <f>IF(F437="","",E437*F437)</f>
        <v>4117.9</v>
      </c>
      <c r="H437" t="str">
        <v>35.545.2101</v>
      </c>
      <c r="I437" t="str">
        <v>SM LC-LC patchcord</v>
      </c>
      <c r="J437" t="str">
        <v>Ad</v>
      </c>
      <c r="K437" s="2">
        <v>411.79</v>
      </c>
      <c r="L437" s="2">
        <v>77.93</v>
      </c>
      <c r="M437" s="1">
        <v>69</v>
      </c>
      <c r="N437" t="str">
        <v>elektrik</v>
      </c>
      <c r="O437" t="str">
        <v>35.545.2301 (58)</v>
      </c>
    </row>
    <row r="438" ht="45" customHeight="1" xml:space="preserve">
      <c r="A438" s="1">
        <v>421</v>
      </c>
      <c r="B438" s="1">
        <v>421</v>
      </c>
      <c r="C438" t="str" xml:space="preserve">
        <v xml:space="preserve">24 Fiber Kapasiteli LC/SM, Rak tipi Fiber Optik Terminasyon_x000d_
Birimi</v>
      </c>
      <c r="D438" t="str">
        <v>adet</v>
      </c>
      <c r="E438" s="1">
        <v>3</v>
      </c>
      <c r="F438" s="2">
        <v>6104.85</v>
      </c>
      <c r="G438" s="2">
        <f>IF(F438="","",E438*F438)</f>
        <v>18314.55</v>
      </c>
      <c r="H438" t="str">
        <v>35.545.3048</v>
      </c>
      <c r="I438" t="str">
        <v>24 Fiber Kapasiteli LC / SM</v>
      </c>
      <c r="J438" t="str">
        <v>Ad</v>
      </c>
      <c r="K438" s="2">
        <v>6104.85</v>
      </c>
      <c r="L438" s="2">
        <v>1572.8</v>
      </c>
      <c r="M438" s="1">
        <v>78</v>
      </c>
      <c r="N438" t="str">
        <v>elektrik</v>
      </c>
      <c r="O438" t="str">
        <v>35.545.4068 (78)</v>
      </c>
    </row>
    <row r="439" ht="45" customHeight="1" xml:space="preserve">
      <c r="A439" s="1">
        <v>422</v>
      </c>
      <c r="B439" s="1">
        <v>422</v>
      </c>
      <c r="C439" t="str" xml:space="preserve">
        <v xml:space="preserve">48 Fiber Kapasiteli SC/SM, Rak tipi Fiber Optik Terminasyon_x000d_
Birimi</v>
      </c>
      <c r="D439" t="str">
        <v>adet</v>
      </c>
      <c r="E439" s="1">
        <v>1</v>
      </c>
      <c r="F439" s="2">
        <v>11979.43</v>
      </c>
      <c r="G439" s="2">
        <f>IF(F439="","",E439*F439)</f>
        <v>11979.43</v>
      </c>
      <c r="H439" t="str">
        <v>35.545.4049</v>
      </c>
      <c r="I439" t="str">
        <v>48 Fiber Kapasiteli SC / SM</v>
      </c>
      <c r="J439" t="str">
        <v>Ad</v>
      </c>
      <c r="K439" s="2">
        <v>11979.43</v>
      </c>
      <c r="L439" s="2">
        <v>3074.35</v>
      </c>
      <c r="M439" s="1">
        <v>78</v>
      </c>
      <c r="N439" t="str">
        <v>elektrik</v>
      </c>
      <c r="O439" t="str">
        <v>35.545.6049 (71)</v>
      </c>
    </row>
    <row r="440" ht="30" customHeight="1" xml:space="preserve">
      <c r="A440" s="1">
        <v>423</v>
      </c>
      <c r="B440" s="1">
        <v>423</v>
      </c>
      <c r="C440" t="str" xml:space="preserve">
        <v xml:space="preserve">12U 600 mm x 600 mm 19"_x000d_
Dikili tip kabinet</v>
      </c>
      <c r="D440" t="str">
        <v>adet</v>
      </c>
      <c r="E440" s="1">
        <v>2</v>
      </c>
      <c r="F440" s="2">
        <v>19404.39</v>
      </c>
      <c r="G440" s="2">
        <f>IF(F440="","",E440*F440)</f>
        <v>38808.78</v>
      </c>
      <c r="H440" t="str">
        <v>35.550.2105</v>
      </c>
      <c r="I440" t="str">
        <v>12U 600 mm x 600 mm 19" Dikili tip kabinet</v>
      </c>
      <c r="J440" t="str">
        <v>Ad</v>
      </c>
      <c r="K440" s="2">
        <v>19404.39</v>
      </c>
      <c r="L440" s="2">
        <v>1032.64</v>
      </c>
      <c r="M440" s="1">
        <v>91</v>
      </c>
      <c r="N440" t="str">
        <v>elektrik</v>
      </c>
      <c r="O440" t="str">
        <v>35.550.2305 (83)</v>
      </c>
    </row>
    <row r="441" ht="30" customHeight="1" xml:space="preserve">
      <c r="A441" s="1">
        <v>424</v>
      </c>
      <c r="B441" s="1">
        <v>424</v>
      </c>
      <c r="C441" t="str" xml:space="preserve">
        <v xml:space="preserve">26U 600 mm x 600 mm 19"_x000d_
Dikili tip kabinet</v>
      </c>
      <c r="D441" t="str">
        <v>adet</v>
      </c>
      <c r="E441" s="1">
        <v>2</v>
      </c>
      <c r="F441" s="2">
        <v>32262.06</v>
      </c>
      <c r="G441" s="2">
        <f>IF(F441="","",E441*F441)</f>
        <v>64524.12</v>
      </c>
      <c r="H441" t="str">
        <v>35.550.2125</v>
      </c>
      <c r="I441" t="str">
        <v>26U 600 mm x 600 mm 19" Dikili tip kabinet</v>
      </c>
      <c r="J441" t="str">
        <v>Ad</v>
      </c>
      <c r="K441" s="2">
        <v>32262.06</v>
      </c>
      <c r="L441" s="2">
        <v>1220.34</v>
      </c>
      <c r="M441" s="1">
        <v>92</v>
      </c>
      <c r="N441" t="str">
        <v>elektrik</v>
      </c>
      <c r="O441" t="str">
        <v>35.550.2325 (84)</v>
      </c>
    </row>
    <row r="442" ht="30" customHeight="1" xml:space="preserve">
      <c r="A442" s="1">
        <v>425</v>
      </c>
      <c r="B442" s="1">
        <v>425</v>
      </c>
      <c r="C442" t="str" xml:space="preserve">
        <v xml:space="preserve">26U 600 mm x 800 mm 19"_x000d_
Dikili tip kabinet</v>
      </c>
      <c r="D442" t="str">
        <v>adet</v>
      </c>
      <c r="E442" s="1">
        <v>3</v>
      </c>
      <c r="F442" s="2">
        <v>35385.04</v>
      </c>
      <c r="G442" s="2">
        <f>IF(F442="","",E442*F442)</f>
        <v>106155.12</v>
      </c>
      <c r="H442" t="str">
        <v>35.550.2225</v>
      </c>
      <c r="I442" t="str">
        <v>26U 600 mm x 800 mm 19" Dikili tip kabinet</v>
      </c>
      <c r="J442" t="str">
        <v>Ad</v>
      </c>
      <c r="K442" s="2">
        <v>35385.04</v>
      </c>
      <c r="L442" s="2">
        <v>1220.34</v>
      </c>
      <c r="M442" s="1">
        <v>93</v>
      </c>
      <c r="N442" t="str">
        <v>elektrik</v>
      </c>
      <c r="O442" t="str">
        <v>35.550.2525 (70)</v>
      </c>
    </row>
    <row r="443" ht="30" customHeight="1" xml:space="preserve">
      <c r="A443" s="1">
        <v>426</v>
      </c>
      <c r="B443" s="1">
        <v>426</v>
      </c>
      <c r="C443" t="str" xml:space="preserve">
        <v xml:space="preserve">42U 800 mm x 800 mm 19"_x000d_
Dikili tip kabinet</v>
      </c>
      <c r="D443" t="str">
        <v>adet</v>
      </c>
      <c r="E443" s="1">
        <v>1</v>
      </c>
      <c r="F443" s="2">
        <v>52755.75</v>
      </c>
      <c r="G443" s="2">
        <f>IF(F443="","",E443*F443)</f>
        <v>52755.75</v>
      </c>
      <c r="H443" t="str">
        <v>35.550.2550</v>
      </c>
      <c r="I443" t="str">
        <v>42U 800 mm x 800 mm 19" Dikili tip kabinet</v>
      </c>
      <c r="J443" t="str">
        <v>Ad</v>
      </c>
      <c r="K443" s="2">
        <v>52755.75</v>
      </c>
      <c r="L443" s="2">
        <v>1689.88</v>
      </c>
      <c r="M443" s="1">
        <v>92</v>
      </c>
      <c r="N443" t="str">
        <v>elektrik</v>
      </c>
      <c r="O443" t="str">
        <v>35.550.2665 (84)</v>
      </c>
    </row>
    <row r="444" ht="30" customHeight="1">
      <c r="A444" s="1">
        <v>427</v>
      </c>
      <c r="B444" s="1">
        <v>427</v>
      </c>
      <c r="C444" t="str">
        <v>Sabit raf 800 mm derinlik için, Ürüne ait Aksesuarlar</v>
      </c>
      <c r="D444" t="str">
        <v>adet</v>
      </c>
      <c r="E444" s="1">
        <v>4</v>
      </c>
      <c r="F444" s="2">
        <v>1174.01</v>
      </c>
      <c r="G444" s="2">
        <f>IF(F444="","",E444*F444)</f>
        <v>4696.04</v>
      </c>
      <c r="H444" t="str">
        <v>35.550.4003</v>
      </c>
      <c r="I444" t="str">
        <v>Sabit raf 800 mm derinlik için</v>
      </c>
      <c r="J444" t="str">
        <v>Ad</v>
      </c>
      <c r="K444" s="2">
        <v>1174.01</v>
      </c>
      <c r="L444" s="2">
        <v>0</v>
      </c>
      <c r="M444" s="1">
        <v>80</v>
      </c>
      <c r="N444" t="str">
        <v>elektrik</v>
      </c>
      <c r="O444" t="str">
        <v>35.550.4006 (67)</v>
      </c>
    </row>
    <row r="445" ht="45" customHeight="1" xml:space="preserve">
      <c r="A445" s="1">
        <v>428</v>
      </c>
      <c r="B445" s="1">
        <v>428</v>
      </c>
      <c r="C445" t="str" xml:space="preserve">
        <v xml:space="preserve">Frenli tekerlek grubu (Ön_x000d_
tekerlekler Frenli), Ürüne ait Aksesuarlar</v>
      </c>
      <c r="D445" t="str">
        <v>adet</v>
      </c>
      <c r="E445" s="1">
        <v>6</v>
      </c>
      <c r="F445" s="2">
        <v>2735</v>
      </c>
      <c r="G445" s="2">
        <f>IF(F445="","",E445*F445)</f>
        <v>16410</v>
      </c>
      <c r="H445" t="str">
        <v>35.550.4008</v>
      </c>
      <c r="I445" t="str">
        <v>Frenli tekerlek grubu (Ön tekerlekler Frenli)</v>
      </c>
      <c r="J445" t="str">
        <v>Ad</v>
      </c>
      <c r="K445" s="2">
        <v>2735</v>
      </c>
      <c r="L445" s="2">
        <v>446.64</v>
      </c>
      <c r="M445" s="1">
        <v>84</v>
      </c>
      <c r="N445" t="str">
        <v>elektrik</v>
      </c>
      <c r="O445" t="str">
        <v>35.550.4004 (24)</v>
      </c>
    </row>
    <row r="446" ht="30" customHeight="1">
      <c r="A446" s="1">
        <v>429</v>
      </c>
      <c r="B446" s="1">
        <v>429</v>
      </c>
      <c r="C446" t="str">
        <v>Termostatlı fan modülü (2 fanlı), analog termostatlı</v>
      </c>
      <c r="D446" t="str">
        <v>adet</v>
      </c>
      <c r="E446" s="1">
        <v>6</v>
      </c>
      <c r="F446" s="2">
        <v>6219.45</v>
      </c>
      <c r="G446" s="2">
        <f>IF(F446="","",E446*F446)</f>
        <v>37316.7</v>
      </c>
      <c r="H446" t="str">
        <v>35.550.4065</v>
      </c>
      <c r="I446" t="str">
        <v>Termostatlı fan modülü (2 fanlı), analog termostatlı</v>
      </c>
      <c r="J446" t="str">
        <v>Ad</v>
      </c>
      <c r="K446" s="2">
        <v>6219.45</v>
      </c>
      <c r="L446" s="2">
        <v>446.64</v>
      </c>
      <c r="M446" s="1">
        <v>85</v>
      </c>
      <c r="N446" t="str">
        <v>elektrik</v>
      </c>
      <c r="O446" t="str">
        <v>35.550.4060 (70)</v>
      </c>
    </row>
    <row r="447" ht="15" customHeight="1">
      <c r="A447" s="1">
        <v>430</v>
      </c>
      <c r="B447" s="1">
        <v>430</v>
      </c>
      <c r="C447" t="str">
        <v>Termostatlı fan modülü (4 fanlı)</v>
      </c>
      <c r="D447" t="str">
        <v>adet</v>
      </c>
      <c r="E447" s="1">
        <v>2</v>
      </c>
      <c r="F447" s="2">
        <v>7866.41</v>
      </c>
      <c r="G447" s="2">
        <f>IF(F447="","",E447*F447)</f>
        <v>15732.82</v>
      </c>
      <c r="H447" t="str">
        <v>35.550.4080</v>
      </c>
      <c r="I447" t="str">
        <v>Termostatlı fan modülü (4 fanlı)</v>
      </c>
      <c r="J447" t="str">
        <v>Ad</v>
      </c>
      <c r="K447" s="2">
        <v>7866.41</v>
      </c>
      <c r="L447" s="2">
        <v>446.64</v>
      </c>
      <c r="M447" s="1">
        <v>84</v>
      </c>
      <c r="N447" t="str">
        <v>elektrik</v>
      </c>
      <c r="O447" t="str">
        <v>35.550.4085 (82)</v>
      </c>
    </row>
    <row r="448" ht="15" customHeight="1">
      <c r="A448" s="1">
        <v>431</v>
      </c>
      <c r="B448" s="1">
        <v>431</v>
      </c>
      <c r="C448" t="str">
        <v>19 " rack tipi 6 lı grup priz anahtarlı</v>
      </c>
      <c r="D448" t="str">
        <v>adet</v>
      </c>
      <c r="E448" s="1">
        <v>4</v>
      </c>
      <c r="F448" s="2">
        <v>3150.05</v>
      </c>
      <c r="G448" s="2">
        <f>IF(F448="","",E448*F448)</f>
        <v>12600.2</v>
      </c>
      <c r="H448" t="str">
        <v>35.550.4120</v>
      </c>
      <c r="I448" t="str">
        <v>19 " rack tipi 6 lı grup priz anahtarlı</v>
      </c>
      <c r="J448" t="str">
        <v>Ad</v>
      </c>
      <c r="K448" s="2">
        <v>3150.05</v>
      </c>
      <c r="L448" s="2">
        <v>446.64</v>
      </c>
      <c r="M448" s="1">
        <v>88</v>
      </c>
      <c r="N448" t="str">
        <v>elektrik</v>
      </c>
      <c r="O448" t="str">
        <v>35.550.4165 (73)</v>
      </c>
    </row>
    <row r="449" ht="30" customHeight="1" xml:space="preserve">
      <c r="A449" s="1">
        <v>432</v>
      </c>
      <c r="B449" s="1">
        <v>432</v>
      </c>
      <c r="C449" t="str" xml:space="preserve">
        <v xml:space="preserve">19" rack tipi 4 lü grup priz_x000d_
sigortalı</v>
      </c>
      <c r="D449" t="str">
        <v>adet</v>
      </c>
      <c r="E449" s="1">
        <v>2</v>
      </c>
      <c r="F449" s="2">
        <v>3874.04</v>
      </c>
      <c r="G449" s="2">
        <f>IF(F449="","",E449*F449)</f>
        <v>7748.08</v>
      </c>
      <c r="H449" t="str">
        <v>35.550.4160</v>
      </c>
      <c r="I449" t="str">
        <v>19" rack tipi 4 lü grup priz sigortalı</v>
      </c>
      <c r="J449" t="str">
        <v>Ad</v>
      </c>
      <c r="K449" s="2">
        <v>3874.04</v>
      </c>
      <c r="L449" s="2">
        <v>446.64</v>
      </c>
      <c r="M449" s="1">
        <v>88</v>
      </c>
      <c r="N449" t="str">
        <v>elektrik</v>
      </c>
      <c r="O449" t="str">
        <v>35.550.4115 (72)</v>
      </c>
    </row>
    <row r="450" ht="30" customHeight="1" xml:space="preserve">
      <c r="A450" s="1">
        <v>433</v>
      </c>
      <c r="B450" s="1">
        <v>433</v>
      </c>
      <c r="C450" t="str" xml:space="preserve">
        <v xml:space="preserve">19" rack tipi 8 li grup priz_x000d_
sigortalı</v>
      </c>
      <c r="D450" t="str">
        <v>adet</v>
      </c>
      <c r="E450" s="1">
        <v>8</v>
      </c>
      <c r="F450" s="2">
        <v>4911.9</v>
      </c>
      <c r="G450" s="2">
        <f>IF(F450="","",E450*F450)</f>
        <v>39295.2</v>
      </c>
      <c r="H450" t="str">
        <v>35.550.4170</v>
      </c>
      <c r="I450" t="str">
        <v>19" rack tipi 8 li grup priz sigortalı</v>
      </c>
      <c r="J450" t="str">
        <v>Ad</v>
      </c>
      <c r="K450" s="2">
        <v>4911.9</v>
      </c>
      <c r="L450" s="2">
        <v>446.64</v>
      </c>
      <c r="M450" s="1">
        <v>88</v>
      </c>
      <c r="N450" t="str">
        <v>elektrik</v>
      </c>
      <c r="O450" t="str">
        <v>35.550.4125 (72)</v>
      </c>
    </row>
    <row r="451" ht="15" customHeight="1">
      <c r="A451" s="1">
        <v>434</v>
      </c>
      <c r="B451" s="1">
        <v>434</v>
      </c>
      <c r="C451" t="str">
        <v>19" 1U yatay kablo düzenleyici</v>
      </c>
      <c r="D451" t="str">
        <v>adet</v>
      </c>
      <c r="E451" s="1">
        <v>1</v>
      </c>
      <c r="F451" s="2">
        <v>1290.11</v>
      </c>
      <c r="G451" s="2">
        <f>IF(F451="","",E451*F451)</f>
        <v>1290.11</v>
      </c>
      <c r="H451" t="str">
        <v>35.550.4210</v>
      </c>
      <c r="I451" t="str">
        <v>19" 1U yatay kablo düzenleyici</v>
      </c>
      <c r="J451" t="str">
        <v>Ad</v>
      </c>
      <c r="K451" s="2">
        <v>1290.11</v>
      </c>
      <c r="L451" s="2">
        <v>446.64</v>
      </c>
      <c r="M451" s="1">
        <v>81</v>
      </c>
      <c r="N451" t="str">
        <v>elektrik</v>
      </c>
      <c r="O451" t="str">
        <v>35.550.4220 (44)</v>
      </c>
    </row>
    <row r="452" ht="30" customHeight="1">
      <c r="A452" s="1">
        <v>435</v>
      </c>
      <c r="B452" s="1">
        <v>435</v>
      </c>
      <c r="C452" t="str">
        <v>26U dikey kablo düzenleyici (tek taraf)</v>
      </c>
      <c r="D452" t="str">
        <v>adet</v>
      </c>
      <c r="E452" s="1">
        <v>10</v>
      </c>
      <c r="F452" s="2">
        <v>1723.28</v>
      </c>
      <c r="G452" s="2">
        <f>IF(F452="","",E452*F452)</f>
        <v>17232.8</v>
      </c>
      <c r="H452" t="str">
        <v>35.550.4340</v>
      </c>
      <c r="I452" t="str">
        <v>26U dikey kablo düzenleyici (tek taraf)</v>
      </c>
      <c r="J452" t="str">
        <v>Ad</v>
      </c>
      <c r="K452" s="2">
        <v>1723.28</v>
      </c>
      <c r="L452" s="2">
        <v>446.64</v>
      </c>
      <c r="M452" s="1">
        <v>84</v>
      </c>
      <c r="N452" t="str">
        <v>elektrik</v>
      </c>
    </row>
    <row r="453" ht="30" customHeight="1">
      <c r="A453" s="1">
        <v>436</v>
      </c>
      <c r="B453" s="1">
        <v>436</v>
      </c>
      <c r="C453" t="str">
        <v>42U dikey kablo düzenleyici (tek taraf)</v>
      </c>
      <c r="D453" t="str">
        <v>adet</v>
      </c>
      <c r="E453" s="1">
        <v>2</v>
      </c>
      <c r="F453" s="2">
        <v>2229.35</v>
      </c>
      <c r="G453" s="2">
        <f>IF(F453="","",E453*F453)</f>
        <v>4458.7</v>
      </c>
      <c r="H453" t="str">
        <v>35.550.4365</v>
      </c>
      <c r="I453" t="str">
        <v>42U dikey kablo düzenleyici (tek taraf)</v>
      </c>
      <c r="J453" t="str">
        <v>Ad</v>
      </c>
      <c r="K453" s="2">
        <v>2229.35</v>
      </c>
      <c r="L453" s="2">
        <v>446.64</v>
      </c>
      <c r="M453" s="1">
        <v>84</v>
      </c>
      <c r="N453" t="str">
        <v>elektrik</v>
      </c>
    </row>
    <row r="454" ht="75" customHeight="1" xml:space="preserve">
      <c r="A454" s="1">
        <v>437</v>
      </c>
      <c r="B454" s="1">
        <v>437</v>
      </c>
      <c r="C454" t="str" xml:space="preserve">
        <v xml:space="preserve">16 kanal Ses Mikseri Ses yayın ve kumanda için kullanılan cihazın yüksek giriş kapasiteli stereo_x000d_
ekolayzırlı kanal sayısına uygun, mono stereo girişli, Aux çıkışlı,</v>
      </c>
      <c r="D454" t="str">
        <v>adet</v>
      </c>
      <c r="E454" s="1">
        <v>1</v>
      </c>
      <c r="F454" s="2">
        <v>28995.84</v>
      </c>
      <c r="G454" s="2">
        <f>IF(F454="","",E454*F454)</f>
        <v>28995.84</v>
      </c>
      <c r="H454" t="str">
        <v>35.705.1112</v>
      </c>
      <c r="I454" t="str">
        <v>16 kanal Ses Mikseri</v>
      </c>
      <c r="J454" t="str">
        <v>Ad</v>
      </c>
      <c r="K454" s="2">
        <v>28995.84</v>
      </c>
      <c r="L454" s="2">
        <v>2394.84</v>
      </c>
      <c r="M454" s="1">
        <v>26</v>
      </c>
      <c r="N454" t="str">
        <v>elektrik</v>
      </c>
      <c r="O454" t="str">
        <v>35.705.1152 (21)</v>
      </c>
    </row>
    <row r="455" ht="45" customHeight="1">
      <c r="C455" t="str">
        <v>faderli, kayıt amaçlı çıkışları olan, beslemesi otomatik voltaj seçimli, dijital efektli</v>
      </c>
    </row>
    <row r="456" ht="135" customHeight="1" xml:space="preserve">
      <c r="A456" s="1">
        <v>438</v>
      </c>
      <c r="B456" s="1">
        <v>438</v>
      </c>
      <c r="C456" t="str" xml:space="preserve">
        <v xml:space="preserve">32 kanal dijital Ses Kayıt Mikseri Ses yayın ve kumanda için kullanılan, yüksek giriş kapasiteli, tablet kontrollü, dahili efektli, en az 7 inç HD dokunmatik ekrana sahip, çok yönlü ses  şekillendirme için Reverb, Delay ve GEQ dahil 8 efektli dahili DSP_x000d_
si</v>
      </c>
      <c r="D456" t="str">
        <v>adet</v>
      </c>
      <c r="E456" s="1">
        <v>1</v>
      </c>
      <c r="F456" s="2">
        <v>121739.21</v>
      </c>
      <c r="G456" s="2">
        <f>IF(F456="","",E456*F456)</f>
        <v>121739.21</v>
      </c>
      <c r="H456" t="str">
        <v>35.705.1153</v>
      </c>
      <c r="I456" t="str">
        <v>32 kanal dijital Ses Kayıt Mikseri</v>
      </c>
      <c r="J456" t="str">
        <v>Ad</v>
      </c>
      <c r="K456" s="2">
        <v>121739.21</v>
      </c>
      <c r="L456" s="2">
        <v>3896.39</v>
      </c>
      <c r="M456" s="1">
        <v>23</v>
      </c>
      <c r="N456" t="str">
        <v>elektrik</v>
      </c>
    </row>
    <row r="457" ht="120" customHeight="1" xml:space="preserve">
      <c r="A457" s="1">
        <v>439</v>
      </c>
      <c r="B457" s="1">
        <v>439</v>
      </c>
      <c r="C457" t="str" xml:space="preserve">
        <v xml:space="preserve">Hoparlör Asma Aparatı:(Ölçü:Ad.) Hoparlör RMS gücü en az 250W sürekli gücü (continuous) 500W , tepe gücü (peak) 1000 W degerinde veya daha iyi olacaktır full range , hoparlörün frekans aralıkları 65Hz-18kHz arasında veya daha_x000d_
gen,iş bantları okuyabile</v>
      </c>
      <c r="D457" t="str">
        <v>adet</v>
      </c>
      <c r="E457" s="1">
        <v>2</v>
      </c>
      <c r="G457" t="str">
        <f>IF(F457="","",E457*F457)</f>
        <v/>
      </c>
      <c r="M457" s="1">
        <v>0</v>
      </c>
    </row>
    <row r="458" ht="90" customHeight="1" xml:space="preserve">
      <c r="A458" s="1">
        <v>440</v>
      </c>
      <c r="B458" s="1">
        <v>440</v>
      </c>
      <c r="C458" t="str" xml:space="preserve">
        <v xml:space="preserve">2x0,22 mm mikrofon kablosu (STEREO) 2 x 0,22 dengeli, dışı nitrilli, PVC kaplamalı esnek yapıda, kablo ve aparatının her nevi ufak malzeme ve işçilik dahil_x000d_
teslimi.</v>
      </c>
      <c r="D458" t="str">
        <v>metre</v>
      </c>
      <c r="E458" s="4">
        <v>1000</v>
      </c>
      <c r="F458" s="2">
        <v>107.23</v>
      </c>
      <c r="G458" s="2">
        <f>IF(F458="","",E458*F458)</f>
        <v>107230</v>
      </c>
      <c r="H458" t="str">
        <v>35.705.1501</v>
      </c>
      <c r="I458" t="str">
        <v>2x0,22 mm mikrofon kablosu (STEREO)</v>
      </c>
      <c r="J458" t="str">
        <v>mt</v>
      </c>
      <c r="K458" s="2">
        <v>107.23</v>
      </c>
      <c r="L458" s="2">
        <v>56.16</v>
      </c>
      <c r="M458" s="1">
        <v>39</v>
      </c>
      <c r="N458" t="str">
        <v>elektrik</v>
      </c>
      <c r="O458" t="str">
        <v>35.705.1370 (29)</v>
      </c>
    </row>
    <row r="459" ht="105" customHeight="1" xml:space="preserve">
      <c r="A459" s="1">
        <v>441</v>
      </c>
      <c r="B459" s="1">
        <v>441</v>
      </c>
      <c r="C459" t="str" xml:space="preserve">
        <v xml:space="preserve">2x1,50mm² Twinax Nitrilli, PVC kaplamalı, bükülü tellerden oluşan, iletkenleri ve esnek kaplaması sayesinde her yöne bükülebilirliği olan kablonun her nevi ufak malzeme ve işçilik dahil_x000d_
teslimi.</v>
      </c>
      <c r="D459" t="str">
        <v>metre</v>
      </c>
      <c r="E459" s="1">
        <v>500</v>
      </c>
      <c r="F459" s="2">
        <v>140.33</v>
      </c>
      <c r="G459" s="2">
        <f>IF(F459="","",E459*F459)</f>
        <v>70165</v>
      </c>
      <c r="H459" t="str">
        <v>35.705.1522</v>
      </c>
      <c r="I459" t="str">
        <v>2x1,50mm² Twinax</v>
      </c>
      <c r="J459" t="str">
        <v>mt</v>
      </c>
      <c r="K459" s="2">
        <v>140.33</v>
      </c>
      <c r="L459" s="2">
        <v>62.04</v>
      </c>
      <c r="M459" s="1">
        <v>22</v>
      </c>
      <c r="N459" t="str">
        <v>elektrik</v>
      </c>
    </row>
    <row r="460" ht="105" customHeight="1" xml:space="preserve">
      <c r="A460" s="1">
        <v>442</v>
      </c>
      <c r="B460" s="1">
        <v>442</v>
      </c>
      <c r="C460" t="str" xml:space="preserve">
        <v xml:space="preserve">2x2,50mm² Twinax Nitrilli, PVC kaplamalı, bükülü tellerden oluşan, iletkenleri ve esnek kaplaması sayesinde her yöne bükülebilirliği olan kablonun her nevi ufak malzeme ve işçilik dahil_x000d_
teslimi.</v>
      </c>
      <c r="D460" t="str">
        <v>metre</v>
      </c>
      <c r="E460" s="1">
        <v>100</v>
      </c>
      <c r="F460" s="2">
        <v>183.99</v>
      </c>
      <c r="G460" s="2">
        <f>IF(F460="","",E460*F460)</f>
        <v>18399</v>
      </c>
      <c r="H460" t="str">
        <v>35.705.1523</v>
      </c>
      <c r="I460" t="str">
        <v>2x2,50mm² Twinax</v>
      </c>
      <c r="J460" t="str">
        <v>mt</v>
      </c>
      <c r="K460" s="2">
        <v>183.99</v>
      </c>
      <c r="L460" s="2">
        <v>68.94</v>
      </c>
      <c r="M460" s="1">
        <v>22</v>
      </c>
      <c r="N460" t="str">
        <v>elektrik</v>
      </c>
    </row>
    <row r="461" ht="90" customHeight="1" xml:space="preserve">
      <c r="A461" s="1">
        <v>443</v>
      </c>
      <c r="B461" s="1">
        <v>443</v>
      </c>
      <c r="C461" t="str" xml:space="preserve">
        <v xml:space="preserve">8 Kanal Multicore İçerisinde ses sinyali taşınması için numaralandırılmış kablolardan oluşmuş, multicore ses kablosu ve_x000d_
aparatının her nevi ufak malzeme ve işçilik dahil teslimi.</v>
      </c>
      <c r="D461" t="str">
        <v>metre</v>
      </c>
      <c r="E461" s="1">
        <v>50</v>
      </c>
      <c r="F461" s="2">
        <v>2811.99</v>
      </c>
      <c r="G461" s="2">
        <f>IF(F461="","",E461*F461)</f>
        <v>140599.5</v>
      </c>
      <c r="H461" t="str">
        <v>35.705.1370</v>
      </c>
      <c r="I461" t="str">
        <v>Hoparlör Asma Aparatı:(Ölçü:Ad.) Hoparlörün duvara asılması için sağlam mekanik yapıda uygun duvar asma aparatının her nevi ufak malzeme ve işçilik dahil teslimi.</v>
      </c>
      <c r="J461" t="str">
        <v>Ad</v>
      </c>
      <c r="K461" s="2">
        <v>2811.99</v>
      </c>
      <c r="L461" s="2">
        <v>258.95</v>
      </c>
      <c r="M461" s="1">
        <v>27</v>
      </c>
      <c r="N461" t="str">
        <v>elektrik</v>
      </c>
      <c r="O461" t="str">
        <v>35.705.1533 (26)</v>
      </c>
    </row>
    <row r="462" ht="90" customHeight="1" xml:space="preserve">
      <c r="A462" s="1">
        <v>444</v>
      </c>
      <c r="B462" s="1">
        <v>444</v>
      </c>
      <c r="C462" t="str" xml:space="preserve">
        <v xml:space="preserve">8 Kanal Stage box Sahnede ses bağlantısı için profesyonel metal statik siyah DKP saçtan imal edilmiş, ses bağlantısına imkan veren, ses konektörleri olan,_x000d_
kablonun her iki tarafında</v>
      </c>
      <c r="D462" t="str">
        <v>adet</v>
      </c>
      <c r="E462" s="1">
        <v>2</v>
      </c>
      <c r="F462" s="2">
        <v>7433.15</v>
      </c>
      <c r="G462" s="2">
        <f>IF(F462="","",E462*F462)</f>
        <v>14866.3</v>
      </c>
      <c r="H462" t="str">
        <v>35.705.1552</v>
      </c>
      <c r="I462" t="str">
        <v>8 Kanal Stage box</v>
      </c>
      <c r="J462" t="str">
        <v>mt</v>
      </c>
      <c r="K462" s="2">
        <v>7433.15</v>
      </c>
      <c r="L462" s="2">
        <v>253.74</v>
      </c>
      <c r="M462" s="1">
        <v>20</v>
      </c>
      <c r="N462" t="str">
        <v>elektrik</v>
      </c>
    </row>
    <row r="463" ht="30" customHeight="1">
      <c r="C463" t="str">
        <v>kullanılacak jack ve konnektörler ile birlikte stage boxın her nevi işçil</v>
      </c>
    </row>
    <row r="464" ht="135" customHeight="1" xml:space="preserve">
      <c r="A464" s="1">
        <v>445</v>
      </c>
      <c r="B464" s="1">
        <v>445</v>
      </c>
      <c r="C464" t="str" xml:space="preserve">
        <v xml:space="preserve">Konnektör ve Jacklar: (Ölçü:Ad.) Sahnede ses bağlantısı için profesyonel metal statik siyah DKP saçtan imal edilmiş, ses bağlantısına imkan veren, ses konektörleri olan, kablonun her iki tarafında kullanılacak jack ve konnektörler ile birlikte stage_x000d_
boxın</v>
      </c>
      <c r="D464" t="str">
        <v>adet</v>
      </c>
      <c r="E464" s="1">
        <v>30</v>
      </c>
      <c r="G464" t="str">
        <f>IF(F464="","",E464*F464)</f>
        <v/>
      </c>
      <c r="M464" s="1">
        <v>0</v>
      </c>
    </row>
    <row r="465" ht="105" customHeight="1" xml:space="preserve">
      <c r="A465" s="1">
        <v>446</v>
      </c>
      <c r="B465" s="1">
        <v>446</v>
      </c>
      <c r="C465" t="str" xml:space="preserve">
        <v xml:space="preserve">El tipi UHF Frekansında, alıcı verici şeklinde görev yapan, mikrofon setinin besleme adaptörü, alıcı vericiler, dahili ve harici antenler, ile birlikte her nevi ufak malzeme ve işçilik_x000d_
dahil, işler halde teslimi.</v>
      </c>
      <c r="D465" t="str">
        <v>adet</v>
      </c>
      <c r="E465" s="1">
        <v>1</v>
      </c>
      <c r="F465" s="2">
        <v>1457.91</v>
      </c>
      <c r="G465" s="2">
        <f>IF(F465="","",E465*F465)</f>
        <v>1457.91</v>
      </c>
      <c r="H465" t="str">
        <v>35.705.1640</v>
      </c>
      <c r="I465" t="str">
        <v>Mikrofon Sehpası: (Ölçü:Ad.) Sahne boy ve enstrüman kullanımlarına uygun tripod (3 ayak) yapıda olan mikrofon sehpasının her nevi ufak malzeme ve işçilik dahil, işler halde teslimi</v>
      </c>
      <c r="J465" t="str">
        <v>Ad</v>
      </c>
      <c r="K465" s="2">
        <v>1457.91</v>
      </c>
      <c r="L465" s="2">
        <v>0</v>
      </c>
      <c r="M465" s="1">
        <v>31</v>
      </c>
      <c r="N465" t="str">
        <v>elektrik</v>
      </c>
      <c r="O465" t="str">
        <v>35.705.1620 (30)</v>
      </c>
    </row>
    <row r="466" ht="120" customHeight="1" xml:space="preserve">
      <c r="A466" s="1">
        <v>447</v>
      </c>
      <c r="B466" s="1">
        <v>447</v>
      </c>
      <c r="C466" t="str" xml:space="preserve">
        <v xml:space="preserve">Mikrofon Sehpası: (Ölçü:Ad.) UHF Frekansında, alıcı verici şeklinde görev yapan, mikrofon setinin besleme adaptörü, alıcı vericiler, dahili ve harici antenler, ile birlikte her nevi ufak malzeme ve işçilik dahil, işler halde_x000d_
teslimi.</v>
      </c>
      <c r="D466" t="str">
        <v>adet</v>
      </c>
      <c r="E466" s="1">
        <v>20</v>
      </c>
      <c r="F466" s="2">
        <v>1457.91</v>
      </c>
      <c r="G466" s="2">
        <f>IF(F466="","",E466*F466)</f>
        <v>29158.2</v>
      </c>
      <c r="H466" t="str">
        <v>35.705.1640</v>
      </c>
      <c r="I466" t="str">
        <v>Mikrofon Sehpası: (Ölçü:Ad.) Sahne boy ve enstrüman kullanımlarına uygun tripod (3 ayak) yapıda olan mikrofon sehpasının her nevi ufak malzeme ve işçilik dahil, işler halde teslimi</v>
      </c>
      <c r="J466" t="str">
        <v>Ad</v>
      </c>
      <c r="K466" s="2">
        <v>1457.91</v>
      </c>
      <c r="L466" s="2">
        <v>0</v>
      </c>
      <c r="M466" s="1">
        <v>39</v>
      </c>
      <c r="N466" t="str">
        <v>elektrik</v>
      </c>
      <c r="O466" t="str">
        <v>35.705.1660 (37)</v>
      </c>
    </row>
    <row r="467" ht="105" customHeight="1" xml:space="preserve">
      <c r="A467" s="1">
        <v>448</v>
      </c>
      <c r="B467" s="1">
        <v>448</v>
      </c>
      <c r="C467" t="str" xml:space="preserve">
        <v xml:space="preserve">Nota Sehpası: (Ölçü:Ad.) UHF Frekansında, alıcı verici şeklinde görev yapan, mikrofon setinin besleme adaptörü, alıcı vericiler, dahili ve harici antenler, ile birlikte her nevi ufak malzeme ve_x000d_
işçilik dahil, işler halde teslimi.</v>
      </c>
      <c r="D467" t="str">
        <v>adet</v>
      </c>
      <c r="E467" s="1">
        <v>16</v>
      </c>
      <c r="F467" s="2">
        <v>2032.35</v>
      </c>
      <c r="G467" s="2">
        <f>IF(F467="","",E467*F467)</f>
        <v>32517.6</v>
      </c>
      <c r="H467" t="str">
        <v>35.705.1650</v>
      </c>
      <c r="I467" t="str">
        <v>Nota Sehpası: (Ölçü:Ad.) Sahne kullanımlarına uygun, tripod (3 ayak) yapıda metal gövde ve taşıma ayaklı olan nota sehpasının her nevi ufak malzeme ve işçilik dahil, işler halde teslimi</v>
      </c>
      <c r="J467" t="str">
        <v>Ad</v>
      </c>
      <c r="K467" s="2">
        <v>2032.35</v>
      </c>
      <c r="L467" s="2">
        <v>0</v>
      </c>
      <c r="M467" s="1">
        <v>39</v>
      </c>
      <c r="N467" t="str">
        <v>elektrik</v>
      </c>
      <c r="O467" t="str">
        <v>35.705.1640 (37)</v>
      </c>
    </row>
    <row r="468" ht="45" customHeight="1" xml:space="preserve">
      <c r="A468" s="1">
        <v>449</v>
      </c>
      <c r="B468" s="1">
        <v>449</v>
      </c>
      <c r="C468" t="str" xml:space="preserve">
        <v xml:space="preserve">5 Bölge Mikrofon Konsolu /_x000d_
Bölge Mikrofon Konsolu / Genel Anons Seslendirme Sistemleri</v>
      </c>
      <c r="D468" t="str">
        <v>adet</v>
      </c>
      <c r="E468" s="1">
        <v>1</v>
      </c>
      <c r="F468" s="2">
        <v>27894.86</v>
      </c>
      <c r="G468" s="2">
        <f>IF(F468="","",E468*F468)</f>
        <v>27894.86</v>
      </c>
      <c r="H468" t="str">
        <v>35.705.4101</v>
      </c>
      <c r="I468" t="str">
        <v>5 Bölge Mikrofon Konsolu</v>
      </c>
      <c r="J468" t="str">
        <v>Ad</v>
      </c>
      <c r="K468" s="2">
        <v>27894.86</v>
      </c>
      <c r="L468" s="2">
        <v>3312.41</v>
      </c>
      <c r="M468" s="1">
        <v>89</v>
      </c>
      <c r="N468" t="str">
        <v>elektrik</v>
      </c>
      <c r="O468" t="str">
        <v>35.705.4161 (75)</v>
      </c>
    </row>
    <row r="469" ht="75" customHeight="1" xml:space="preserve">
      <c r="A469" s="1">
        <v>450</v>
      </c>
      <c r="B469" s="1">
        <v>450</v>
      </c>
      <c r="C469" t="str" xml:space="preserve">
        <v xml:space="preserve">40 W (8") 100 V, 2 yollu, güç ayarlı (en az 10 - 40 W arası) duvar tipi hoparlör / Hoparlör /_x000d_
Genel Anons Seslendirme Sistemleri</v>
      </c>
      <c r="D469" t="str">
        <v>adet</v>
      </c>
      <c r="E469" s="1">
        <v>17</v>
      </c>
      <c r="F469" s="2">
        <v>9113.53</v>
      </c>
      <c r="G469" s="2">
        <f>IF(F469="","",E469*F469)</f>
        <v>154930.01</v>
      </c>
      <c r="H469" t="str">
        <v>35.705.4216</v>
      </c>
      <c r="I469" t="str">
        <v>40 W (8") 100 V, 2 yollu, güç ayarlı (en az 10 - 40 W arası) duvar tipi hoparlör</v>
      </c>
      <c r="J469" t="str">
        <v>Ad</v>
      </c>
      <c r="K469" s="2">
        <v>9113.53</v>
      </c>
      <c r="L469" s="2">
        <v>446.64</v>
      </c>
      <c r="M469" s="1">
        <v>92</v>
      </c>
      <c r="N469" t="str">
        <v>elektrik</v>
      </c>
      <c r="O469" t="str">
        <v>35.705.4210 (61)</v>
      </c>
    </row>
    <row r="470" ht="75" customHeight="1" xml:space="preserve">
      <c r="A470" s="1">
        <v>451</v>
      </c>
      <c r="B470" s="1">
        <v>451</v>
      </c>
      <c r="C470" t="str" xml:space="preserve">
        <v xml:space="preserve">En az 400 W, 100 V Hat Trafolu Power Mikser / Power Mikser Dijital Efektli Amplifikatör / Genel Anons Seslendirme_x000d_
Sistemleri</v>
      </c>
      <c r="D470" t="str">
        <v>adet</v>
      </c>
      <c r="E470" s="1">
        <v>1</v>
      </c>
      <c r="F470" s="2">
        <v>45150</v>
      </c>
      <c r="G470" s="2">
        <f>IF(F470="","",E470*F470)</f>
        <v>45150</v>
      </c>
      <c r="H470" t="str">
        <v>35.705.4520</v>
      </c>
      <c r="I470" t="str">
        <v>En az 400 W, 100 V Hat Trafolu Power Mikser</v>
      </c>
      <c r="J470" t="str">
        <v>Ad</v>
      </c>
      <c r="K470" s="2">
        <v>45150</v>
      </c>
      <c r="L470" s="2">
        <v>893.29</v>
      </c>
      <c r="M470" s="1">
        <v>85</v>
      </c>
      <c r="N470" t="str">
        <v>elektrik</v>
      </c>
      <c r="O470" t="str">
        <v>35.705.4510 (50)</v>
      </c>
    </row>
    <row r="471" ht="90" customHeight="1" xml:space="preserve">
      <c r="A471" s="1">
        <v>452</v>
      </c>
      <c r="B471" s="1">
        <v>452</v>
      </c>
      <c r="C471" t="str" xml:space="preserve">
        <v xml:space="preserve">5 Duraklı, 1,00 m/s hızlı, Sınıf I asansörü (İnsan taşımak amacıyla tasarımlanmış asansörlerdir)._x000d_
Sınıf II asansörü (Esas olarak_x000d_
insan taşımak için tasarımlanan, gerektiğinde yük de taşınabilen</v>
      </c>
      <c r="D471" t="str">
        <v>adet</v>
      </c>
      <c r="E471" s="1">
        <v>1</v>
      </c>
      <c r="F471" s="2">
        <v>1948460.59</v>
      </c>
      <c r="G471" s="2">
        <f>IF(F471="","",E471*F471)</f>
        <v>1948460.59</v>
      </c>
      <c r="H471" t="str">
        <v>35.710.1554</v>
      </c>
      <c r="I471" t="str">
        <v>5 Duraklı 1,00 m/sn hızlı</v>
      </c>
      <c r="J471" t="str">
        <v/>
      </c>
      <c r="K471" s="2">
        <v>1948460.59</v>
      </c>
      <c r="L471" s="2">
        <v>207941.03</v>
      </c>
      <c r="M471" s="1">
        <v>57</v>
      </c>
      <c r="N471" t="str">
        <v>elektrik</v>
      </c>
      <c r="O471" t="str">
        <v>35.710.1204 (52)</v>
      </c>
    </row>
    <row r="472" ht="30" customHeight="1" xml:space="preserve">
      <c r="C472" t="str" xml:space="preserve">
        <v xml:space="preserve">asansörlerdir). Makine dairesiz,_x000d_
Kademesiz hızlı, Beyan yükü:</v>
      </c>
    </row>
    <row r="473" ht="60" customHeight="1" xml:space="preserve">
      <c r="A473" s="1">
        <v>453</v>
      </c>
      <c r="B473" s="1">
        <v>453</v>
      </c>
      <c r="C473" t="str" xml:space="preserve">
        <v xml:space="preserve">875 kVA (Tam yükte sürekli çalışma gücü), Diesel motoru su veya hava ile soğuyan cinsten,_x000d_
1.500 devir/dakika</v>
      </c>
      <c r="D473" t="str">
        <v>adet</v>
      </c>
      <c r="E473" s="1">
        <v>1</v>
      </c>
      <c r="F473" s="2">
        <v>6139548.59</v>
      </c>
      <c r="G473" s="2">
        <f>IF(F473="","",E473*F473)</f>
        <v>6139548.59</v>
      </c>
      <c r="H473" t="str">
        <v>35.740.1120</v>
      </c>
      <c r="I473" t="str">
        <v>875 KVA</v>
      </c>
      <c r="J473" t="str">
        <v>Ad</v>
      </c>
      <c r="K473" s="2">
        <v>6139548.59</v>
      </c>
      <c r="L473" s="2">
        <v>56364.25</v>
      </c>
      <c r="M473" s="1">
        <v>58</v>
      </c>
      <c r="N473" t="str">
        <v>elektrik</v>
      </c>
      <c r="O473" t="str">
        <v>35.740.1105 (37)</v>
      </c>
    </row>
    <row r="474" ht="15" customHeight="1">
      <c r="A474" s="1">
        <v>454</v>
      </c>
      <c r="B474" s="1">
        <v>454</v>
      </c>
      <c r="C474" t="str">
        <v>875 kVA, Ses izolasyon kabini</v>
      </c>
      <c r="D474" t="str">
        <v>adet</v>
      </c>
      <c r="E474" s="1">
        <v>1</v>
      </c>
      <c r="F474" s="2">
        <v>498880.9</v>
      </c>
      <c r="G474" s="2">
        <f>IF(F474="","",E474*F474)</f>
        <v>498880.9</v>
      </c>
      <c r="H474" t="str">
        <v>35.740.5417</v>
      </c>
      <c r="I474" t="str">
        <v>875 KVA</v>
      </c>
      <c r="J474" t="str">
        <v>Ad</v>
      </c>
      <c r="K474" s="2">
        <v>498880.9</v>
      </c>
      <c r="L474" s="2">
        <v>12917.4</v>
      </c>
      <c r="M474" s="1">
        <v>79</v>
      </c>
      <c r="N474" t="str">
        <v>elektrik</v>
      </c>
      <c r="O474" t="str">
        <v>35.740.1120 (30)</v>
      </c>
    </row>
    <row r="475" ht="30" customHeight="1" xml:space="preserve">
      <c r="A475" s="1">
        <v>455</v>
      </c>
      <c r="B475" s="1">
        <v>455</v>
      </c>
      <c r="C475" t="str" xml:space="preserve">
        <v xml:space="preserve">Ortalama uyarım yolu DL= 60 m,_x000d_
Aktif yakalama ucu: (Ölçü Ad.)</v>
      </c>
      <c r="D475" t="str">
        <v>adet</v>
      </c>
      <c r="E475" s="1">
        <v>1</v>
      </c>
      <c r="F475" s="2">
        <v>23254.06</v>
      </c>
      <c r="G475" s="2">
        <f>IF(F475="","",E475*F475)</f>
        <v>23254.06</v>
      </c>
      <c r="H475" t="str">
        <v>35.750.1504</v>
      </c>
      <c r="I475" t="str">
        <v>Ortalama uyarım yolu DL= 60 mt.</v>
      </c>
      <c r="J475" t="str">
        <v>Ad</v>
      </c>
      <c r="K475" s="2">
        <v>23254.06</v>
      </c>
      <c r="L475" s="2">
        <v>2822.35</v>
      </c>
      <c r="M475" s="1">
        <v>75</v>
      </c>
      <c r="N475" t="str">
        <v>elektrik</v>
      </c>
    </row>
    <row r="476" ht="60" customHeight="1" xml:space="preserve">
      <c r="A476" s="1">
        <v>456</v>
      </c>
      <c r="B476" s="1">
        <v>456</v>
      </c>
      <c r="C476" t="str" xml:space="preserve">
        <v xml:space="preserve">Çatı direği (Aktif yakalama ucu için) (Ölçü: Ad.: İhzarat: % 60), YILDIRIMDAN KORUNMA_x000d_
TESİSATI</v>
      </c>
      <c r="D476" t="str">
        <v>adet</v>
      </c>
      <c r="E476" s="1">
        <v>1</v>
      </c>
      <c r="F476" s="2">
        <v>23254.06</v>
      </c>
      <c r="G476" s="2">
        <f>IF(F476="","",E476*F476)</f>
        <v>23254.06</v>
      </c>
      <c r="H476" t="str">
        <v>35.750.1504</v>
      </c>
      <c r="I476" t="str">
        <v>Ortalama uyarım yolu DL= 60 mt.</v>
      </c>
      <c r="J476" t="str">
        <v>Ad</v>
      </c>
      <c r="K476" s="2">
        <v>23254.06</v>
      </c>
      <c r="L476" s="2">
        <v>2822.35</v>
      </c>
      <c r="M476" s="1">
        <v>47</v>
      </c>
      <c r="N476" t="str">
        <v>elektrik</v>
      </c>
    </row>
    <row r="477" ht="45" customHeight="1" xml:space="preserve">
      <c r="A477" s="1">
        <v>457</v>
      </c>
      <c r="B477" s="1">
        <v>457</v>
      </c>
      <c r="C477" t="str" xml:space="preserve">
        <v xml:space="preserve">50 mm² elektrolitik bakır iletken, Çatı ihata ve indirme iletkenleri_x000d_
tesisatı</v>
      </c>
      <c r="D477" t="str">
        <v>metre</v>
      </c>
      <c r="E477" s="1">
        <v>50</v>
      </c>
      <c r="F477" s="2">
        <v>591.7</v>
      </c>
      <c r="G477" s="2">
        <f>IF(F477="","",E477*F477)</f>
        <v>29585</v>
      </c>
      <c r="H477" t="str">
        <v>35.750.2001</v>
      </c>
      <c r="I477" t="str">
        <v>50 mm2 elektrolitik bakır iletken</v>
      </c>
      <c r="J477" t="str">
        <v>m</v>
      </c>
      <c r="K477" s="2">
        <v>591.7</v>
      </c>
      <c r="L477" s="2">
        <v>83.7</v>
      </c>
      <c r="M477" s="1">
        <v>74</v>
      </c>
      <c r="N477" t="str">
        <v>elektrik</v>
      </c>
      <c r="O477" t="str">
        <v>35.750.3001 (31)</v>
      </c>
    </row>
    <row r="478" ht="60" customHeight="1" xml:space="preserve">
      <c r="A478" s="1">
        <v>458</v>
      </c>
      <c r="B478" s="1">
        <v>458</v>
      </c>
      <c r="C478" t="str" xml:space="preserve">
        <v xml:space="preserve">30x3,5 mm ebadında şartnamesine uygun, min 70li çinko ile kaplanmış galvanizli_x000d_
çelik lama</v>
      </c>
      <c r="D478" t="str">
        <v>metre</v>
      </c>
      <c r="E478" s="4">
        <v>1000</v>
      </c>
      <c r="F478" s="2">
        <v>240.73</v>
      </c>
      <c r="G478" s="2">
        <f>IF(F478="","",E478*F478)</f>
        <v>240730</v>
      </c>
      <c r="H478" t="str">
        <v>35.750.3002</v>
      </c>
      <c r="I478" t="str">
        <v>30x3,5 mm ebadında şartnamesine uygun, min 70μ çinko ile kaplanmış galvanizli çelik lama,</v>
      </c>
      <c r="J478" t="str">
        <v>m</v>
      </c>
      <c r="K478" s="2">
        <v>240.73</v>
      </c>
      <c r="L478" s="2">
        <v>102.68</v>
      </c>
      <c r="M478" s="1">
        <v>86</v>
      </c>
      <c r="N478" t="str">
        <v>elektrik</v>
      </c>
    </row>
    <row r="479" ht="30" customHeight="1" xml:space="preserve">
      <c r="A479" s="1">
        <v>459</v>
      </c>
      <c r="B479" s="1">
        <v>459</v>
      </c>
      <c r="C479" t="str" xml:space="preserve">
        <v xml:space="preserve">Toprak elektrodu (çubuk)_x000d_
elektrolitik bakır: (Ölçü: m)</v>
      </c>
      <c r="D479" t="str">
        <v>metre</v>
      </c>
      <c r="E479" s="1">
        <v>40</v>
      </c>
      <c r="F479" s="2">
        <v>4381.3</v>
      </c>
      <c r="G479" s="2">
        <f>IF(F479="","",E479*F479)</f>
        <v>175252</v>
      </c>
      <c r="H479" t="str">
        <v>35.750.4002</v>
      </c>
      <c r="I479" t="str">
        <v>Toprak elektrodu (çubuk) elektrolitik bakır: (Ölçü: m) TS 435/T1 ve TS EN IEC 62561-2 standartlarıına uygun, ø 20 mm. çapında, elektrolitik bakır çubuğun işyerinde temini, toprağa çakılabilmesi için ucuna koni biçiminde bir başlığın vidalanması, çubuk 2 parçadan müteşekkil olacaksa irtibatın 4 cm. boyunda diş açılarak temini, toprak seviyesinden itibaren en az 60 cm. derinliğe gömülmesi, indirme iletkenlerine ve bina ihata iletkenlerine termokaynak veya kızıldan özel tespit kelepçesi ile bağlanması, her nevi ufak malzeme ve işçilik dahil.</v>
      </c>
      <c r="J479" t="str">
        <v>m</v>
      </c>
      <c r="K479" s="2">
        <v>4381.3</v>
      </c>
      <c r="L479" s="2">
        <v>517.9</v>
      </c>
      <c r="M479" s="1">
        <v>53</v>
      </c>
      <c r="N479" t="str">
        <v>elektrik</v>
      </c>
      <c r="O479" t="str">
        <v>35.750.4001 (37)</v>
      </c>
    </row>
    <row r="480" ht="30" customHeight="1" xml:space="preserve">
      <c r="A480" s="1">
        <v>460</v>
      </c>
      <c r="B480" s="1">
        <v>460</v>
      </c>
      <c r="C480" t="str" xml:space="preserve">
        <v xml:space="preserve">İletken koruyucu borusu: (Ölçü:_x000d_
Ad.:)</v>
      </c>
      <c r="D480" t="str">
        <v>adet</v>
      </c>
      <c r="E480" s="1">
        <v>1</v>
      </c>
      <c r="F480" s="2">
        <v>1632.53</v>
      </c>
      <c r="G480" s="2">
        <f>IF(F480="","",E480*F480)</f>
        <v>1632.53</v>
      </c>
      <c r="H480" t="str">
        <v>35.750.4003</v>
      </c>
      <c r="I480" t="str">
        <v>İletken koruyucu borusu: (Ölçü: Ad.) İniş iletkenlerinin 0,5 m.si toprak içinde kalmak üzere 3 m.lik 20 mm.lik galvanizli demir boru içine alınması (3 m.den fazla boru kullanıldığında bedeli ayrıca ödenir) İletkenin boru içinde kalan kısmının boruya temasını önlemek gayesi ile PVC veya benzeri bir izolasyon maddesi ile izole edilmesi ve yıldırım düşmesi anında transformatör gibi çalışmasını önlemek üzere bir noktadan boruya iletken olarak tespiti korozyona mani olacak malzemeden muayene klemensi bütün malzemenin işyerinde temini ve montajı her nevi ufak malzeme ve işçilik dahil.</v>
      </c>
      <c r="J480" t="str">
        <v>Ad</v>
      </c>
      <c r="K480" s="2">
        <v>1632.53</v>
      </c>
      <c r="L480" s="2">
        <v>490.91</v>
      </c>
      <c r="M480" s="1">
        <v>49</v>
      </c>
      <c r="N480" t="str">
        <v>elektrik</v>
      </c>
      <c r="O480" t="str">
        <v>25.230.4002 (27)</v>
      </c>
    </row>
    <row r="481" ht="60" customHeight="1" xml:space="preserve">
      <c r="A481" s="1">
        <v>461</v>
      </c>
      <c r="B481" s="1">
        <v>461</v>
      </c>
      <c r="C481" t="str" xml:space="preserve">
        <v xml:space="preserve">65 g kaynak tozuna kadar, Termokaynak eki (bakır bakıra) (bakır alüminyuma) (bakır_x000d_
demire)</v>
      </c>
      <c r="D481" t="str">
        <v>adet</v>
      </c>
      <c r="E481" s="1">
        <v>20</v>
      </c>
      <c r="F481" s="2">
        <v>1605.58</v>
      </c>
      <c r="G481" s="2">
        <f>IF(F481="","",E481*F481)</f>
        <v>32111.6</v>
      </c>
      <c r="H481" t="str">
        <v>35.750.5002</v>
      </c>
      <c r="I481" t="str">
        <v>65 gr. kaynak tozuna kadar</v>
      </c>
      <c r="J481" t="str">
        <v>Ad</v>
      </c>
      <c r="K481" s="2">
        <v>1605.58</v>
      </c>
      <c r="L481" s="2">
        <v>893.29</v>
      </c>
      <c r="M481" s="1">
        <v>81</v>
      </c>
      <c r="N481" t="str">
        <v>elektrik</v>
      </c>
      <c r="O481" t="str">
        <v>35.750.5500 (28)</v>
      </c>
    </row>
    <row r="482" ht="30" customHeight="1">
      <c r="A482" s="1">
        <v>462</v>
      </c>
      <c r="B482" s="1">
        <v>462</v>
      </c>
      <c r="C482" t="str">
        <v>2000 hafıza kapasiteli metal kasalı RFID kilit / RFID Şifreli Kapı Kilidi</v>
      </c>
      <c r="D482" t="str">
        <v>adet</v>
      </c>
      <c r="E482" s="1">
        <v>3</v>
      </c>
      <c r="F482" s="2">
        <v>3210.88</v>
      </c>
      <c r="G482" s="2">
        <f>IF(F482="","",E482*F482)</f>
        <v>9632.64</v>
      </c>
      <c r="H482" t="str">
        <v>35.800.9116</v>
      </c>
      <c r="I482" t="str">
        <v>2000 hafıza kapasiteli metal kasalı RFID kilit</v>
      </c>
      <c r="J482" t="str">
        <v>Ad</v>
      </c>
      <c r="K482" s="2">
        <v>3210.88</v>
      </c>
      <c r="L482" s="2">
        <v>366.7</v>
      </c>
      <c r="M482" s="1">
        <v>88</v>
      </c>
      <c r="N482" t="str">
        <v>elektrik</v>
      </c>
      <c r="O482" t="str">
        <v>10.400.2007 (20)</v>
      </c>
    </row>
    <row r="483" ht="45" customHeight="1" xml:space="preserve">
      <c r="A483" s="1">
        <v>463</v>
      </c>
      <c r="B483" s="1">
        <v>463</v>
      </c>
      <c r="C483" t="str" xml:space="preserve">
        <v xml:space="preserve">50 adet manyetik proximity_x000d_
anahtarlık / RFID Şifreli Kapı_x000d_
Kilidi</v>
      </c>
      <c r="D483" t="str">
        <v>adet</v>
      </c>
      <c r="E483" s="1">
        <v>1</v>
      </c>
      <c r="F483" s="2">
        <v>391.91</v>
      </c>
      <c r="G483" s="2">
        <f>IF(F483="","",E483*F483)</f>
        <v>391.91</v>
      </c>
      <c r="H483" t="str">
        <v>35.800.9119</v>
      </c>
      <c r="I483" t="str">
        <v>50 adet manyetik proximity anahtarlık</v>
      </c>
      <c r="J483" t="str">
        <v>Ad</v>
      </c>
      <c r="K483" s="2">
        <v>391.91</v>
      </c>
      <c r="L483" s="2">
        <v>0</v>
      </c>
      <c r="M483" s="1">
        <v>87</v>
      </c>
      <c r="N483" t="str">
        <v>elektrik</v>
      </c>
      <c r="O483" t="str">
        <v>35.800.9122 (58)</v>
      </c>
    </row>
    <row r="484" ht="15" customHeight="1">
      <c r="A484" s="1">
        <v>464</v>
      </c>
      <c r="B484" s="1">
        <v>464</v>
      </c>
      <c r="C484" t="str">
        <v>7.000 m mesafeye nakliye fiyatı</v>
      </c>
      <c r="D484" t="str">
        <v>ton</v>
      </c>
      <c r="E484" s="7">
        <v>7212.663</v>
      </c>
      <c r="G484" t="str">
        <f>IF(F484="","",E484*F484)</f>
        <v/>
      </c>
      <c r="M484" s="1">
        <v>0</v>
      </c>
    </row>
    <row r="485" ht="60" customHeight="1" xml:space="preserve">
      <c r="A485" s="1">
        <v>465</v>
      </c>
      <c r="B485" s="1">
        <v>465</v>
      </c>
      <c r="C485" t="str" xml:space="preserve">
        <v xml:space="preserve">Her türlü profil demirlerin münferit veya birleşik olarak hazırlanması ve yerine tespit_x000d_
edilmesi</v>
      </c>
      <c r="D485" t="str">
        <v>ton</v>
      </c>
      <c r="E485" s="6">
        <v>17.47</v>
      </c>
      <c r="F485" s="2">
        <v>94689.9</v>
      </c>
      <c r="G485" s="2">
        <f>IF(F485="","",E485*F485)</f>
        <v>1654232.55</v>
      </c>
      <c r="H485" t="str">
        <v>15.165.1001</v>
      </c>
      <c r="I485" t="str">
        <v>Her türlü profil demirlerin münferit veya birleşik olarak hazırlanması ve yerine tespit edilmesi (aşık olarak yapılan mertekler, hurdi döşemeler, mütemadi kirişler, basit olarak kullanılan münferit çatı aşıkları ve mertekleri, lentolar, hurdi döşemeler, köşe takviye demirleri, kolonlar, dikmeli kolonların bağlanmasında kullanılan hatıllar ve benzeri imalatlar)</v>
      </c>
      <c r="J485" t="str">
        <v/>
      </c>
      <c r="K485" s="2">
        <v>94689.9</v>
      </c>
      <c r="M485" s="1">
        <v>63</v>
      </c>
      <c r="N485" t="str">
        <v>inşaat</v>
      </c>
      <c r="O485" t="str">
        <v>15.106.1103 (22)</v>
      </c>
    </row>
    <row r="486" ht="30" customHeight="1" xml:space="preserve">
      <c r="A486" s="1">
        <v>466</v>
      </c>
      <c r="B486" s="1">
        <v>466</v>
      </c>
      <c r="C486" t="str" xml:space="preserve">
        <v xml:space="preserve">Her cins demirli ve demirsiz_x000d_
beton inşaatın yıkılması</v>
      </c>
      <c r="D486" t="str">
        <v>metreküp</v>
      </c>
      <c r="E486" s="5">
        <v>733.716</v>
      </c>
      <c r="F486" s="2">
        <v>2632.84</v>
      </c>
      <c r="G486" s="2">
        <f>IF(F486="","",E486*F486)</f>
        <v>1931756.83</v>
      </c>
      <c r="H486" t="str">
        <v>15.106.1008</v>
      </c>
      <c r="I486" t="str">
        <v>Patlayıcı Madde Kullanarak Demirli ve Demirsiz Beton İnşaatın Yıkılması</v>
      </c>
      <c r="J486" t="str">
        <v/>
      </c>
      <c r="K486" s="2">
        <v>2632.84</v>
      </c>
      <c r="M486" s="1">
        <v>66</v>
      </c>
      <c r="N486" t="str">
        <v>inşaat</v>
      </c>
      <c r="O486" t="str">
        <v>15.106.1006 (65)</v>
      </c>
    </row>
    <row r="487" ht="15" customHeight="1">
      <c r="A487" s="1">
        <v>467</v>
      </c>
      <c r="B487" s="1">
        <v>467</v>
      </c>
      <c r="C487" t="str">
        <v>Her türlü iç sıva sökülmesi.</v>
      </c>
      <c r="D487" t="str">
        <v>metrekare</v>
      </c>
      <c r="E487" s="1">
        <v>500</v>
      </c>
      <c r="F487" s="2">
        <v>171.01</v>
      </c>
      <c r="G487" s="2">
        <f>IF(F487="","",E487*F487)</f>
        <v>85505</v>
      </c>
      <c r="H487" t="str">
        <v>15.106.1104</v>
      </c>
      <c r="I487" t="str">
        <v>Her türlü iç sıva sökülmesi</v>
      </c>
      <c r="J487" t="str">
        <v/>
      </c>
      <c r="K487" s="2">
        <v>171.01</v>
      </c>
      <c r="M487" s="1">
        <v>89</v>
      </c>
      <c r="N487" t="str">
        <v>inşaat</v>
      </c>
      <c r="O487" t="str">
        <v>15.106.1105 (64)</v>
      </c>
    </row>
    <row r="488" ht="15" customHeight="1">
      <c r="A488" s="1">
        <v>468</v>
      </c>
      <c r="B488" s="1">
        <v>468</v>
      </c>
      <c r="C488" t="str">
        <v>Her türlü dış sıva sökülmesi.</v>
      </c>
      <c r="D488" t="str">
        <v>metrekare</v>
      </c>
      <c r="E488" s="1">
        <v>250</v>
      </c>
      <c r="F488" s="2">
        <v>313.51</v>
      </c>
      <c r="G488" s="2">
        <f>IF(F488="","",E488*F488)</f>
        <v>78377.5</v>
      </c>
      <c r="H488" t="str">
        <v>15.106.1105</v>
      </c>
      <c r="I488" t="str">
        <v>Her türlü dış sıva sökülmesi</v>
      </c>
      <c r="J488" t="str">
        <v/>
      </c>
      <c r="K488" s="2">
        <v>313.51</v>
      </c>
      <c r="M488" s="1">
        <v>89</v>
      </c>
      <c r="N488" t="str">
        <v>inşaat</v>
      </c>
      <c r="O488" t="str">
        <v>15.106.1104 (64)</v>
      </c>
    </row>
    <row r="489" ht="30" customHeight="1" xml:space="preserve">
      <c r="A489" s="1">
        <v>469</v>
      </c>
      <c r="B489" s="1">
        <v>469</v>
      </c>
      <c r="C489" t="str" xml:space="preserve">
        <v xml:space="preserve">Her türlü, sac, pvc, çinko vb._x000d_
yağmur oluğu sökülmesi</v>
      </c>
      <c r="D489" t="str">
        <v>metre</v>
      </c>
      <c r="E489" s="1">
        <v>85</v>
      </c>
      <c r="F489" s="2">
        <v>105.31</v>
      </c>
      <c r="G489" s="2">
        <f>IF(F489="","",E489*F489)</f>
        <v>8951.35</v>
      </c>
      <c r="H489" t="str">
        <v>15.106.1113</v>
      </c>
      <c r="I489" t="str">
        <v>Her türlü, sac, pvc, çinko vb. yağmur oluğu ve borusu sökülmesi</v>
      </c>
      <c r="J489" t="str">
        <v/>
      </c>
      <c r="K489" s="2">
        <v>105.31</v>
      </c>
      <c r="M489" s="1">
        <v>85</v>
      </c>
      <c r="N489" t="str">
        <v>inşaat</v>
      </c>
      <c r="O489" t="str">
        <v>15.106.1103 (34)</v>
      </c>
    </row>
    <row r="490" ht="45" customHeight="1" xml:space="preserve">
      <c r="A490" s="1">
        <v>470</v>
      </c>
      <c r="B490" s="1">
        <v>470</v>
      </c>
      <c r="C490" t="str" xml:space="preserve">
        <v xml:space="preserve">Galvanizli sac, alüminyum, cam_x000d_
elyaf takviyeli vb. çatı örtüsü_x000d_
sökülmesi</v>
      </c>
      <c r="D490" t="str">
        <v>metrekare</v>
      </c>
      <c r="E490" s="1">
        <v>350</v>
      </c>
      <c r="F490" s="2">
        <v>200.2</v>
      </c>
      <c r="G490" s="2">
        <f>IF(F490="","",E490*F490)</f>
        <v>70070</v>
      </c>
      <c r="H490" t="str">
        <v>15.106.1109</v>
      </c>
      <c r="I490" t="str">
        <v>Galvanizli sac, alüminyum, cam elyaf takviyeli vb. çatı örtüsü sökülmesi</v>
      </c>
      <c r="J490" t="str">
        <v/>
      </c>
      <c r="K490" s="2">
        <v>200.2</v>
      </c>
      <c r="M490" s="1">
        <v>93</v>
      </c>
      <c r="N490" t="str">
        <v>inşaat</v>
      </c>
      <c r="O490" t="str">
        <v>15.106.1110 (43)</v>
      </c>
    </row>
    <row r="491" ht="15" customHeight="1">
      <c r="A491" s="1">
        <v>471</v>
      </c>
      <c r="B491" s="1">
        <v>471</v>
      </c>
      <c r="C491" t="str">
        <v>Dökme mozayik sökülmesi</v>
      </c>
      <c r="D491" t="str">
        <v>metrekare</v>
      </c>
      <c r="E491" s="6">
        <v>945.56</v>
      </c>
      <c r="F491" s="2">
        <v>702.1</v>
      </c>
      <c r="G491" s="2">
        <f>IF(F491="","",E491*F491)</f>
        <v>663877.68</v>
      </c>
      <c r="H491" t="str">
        <v>15.106.1118</v>
      </c>
      <c r="I491" t="str">
        <v>Dökme mozayik sökülmesi</v>
      </c>
      <c r="J491" t="str">
        <v/>
      </c>
      <c r="K491" s="2">
        <v>702.1</v>
      </c>
      <c r="M491" s="1">
        <v>84</v>
      </c>
      <c r="N491" t="str">
        <v>inşaat</v>
      </c>
      <c r="O491" t="str">
        <v>15.106.1124 (34)</v>
      </c>
    </row>
    <row r="492" ht="30" customHeight="1">
      <c r="A492" s="1">
        <v>472</v>
      </c>
      <c r="B492" s="1">
        <v>472</v>
      </c>
      <c r="C492" t="str">
        <v>Ahşap parke ve ahşap döşeme kaplaması sökülmesi</v>
      </c>
      <c r="D492" t="str">
        <v>metrekare</v>
      </c>
      <c r="E492" s="7">
        <v>2251.445</v>
      </c>
      <c r="F492" s="2">
        <v>355.93</v>
      </c>
      <c r="G492" s="2">
        <f>IF(F492="","",E492*F492)</f>
        <v>801356.82</v>
      </c>
      <c r="H492" t="str">
        <v>15.106.1120</v>
      </c>
      <c r="I492" t="str">
        <v>Ahşap parke ve ahşap döşeme kaplaması sökülmesi</v>
      </c>
      <c r="J492" t="str">
        <v/>
      </c>
      <c r="K492" s="2">
        <v>355.93</v>
      </c>
      <c r="M492" s="1">
        <v>91</v>
      </c>
      <c r="N492" t="str">
        <v>inşaat</v>
      </c>
      <c r="O492" t="str">
        <v>15.106.1119 (50)</v>
      </c>
    </row>
    <row r="493" ht="30" customHeight="1">
      <c r="A493" s="1">
        <v>473</v>
      </c>
      <c r="B493" s="1">
        <v>473</v>
      </c>
      <c r="C493" t="str">
        <v>Her türlü Ahşap kapı kasası, kapı kanadı, pencere ve Camekan</v>
      </c>
      <c r="D493" t="str">
        <v>metrekare</v>
      </c>
      <c r="E493" s="1">
        <v>135</v>
      </c>
      <c r="F493" s="2">
        <v>286.75</v>
      </c>
      <c r="G493" s="2">
        <f>IF(F493="","",E493*F493)</f>
        <v>38711.25</v>
      </c>
      <c r="H493" t="str">
        <v>15.106.1131</v>
      </c>
      <c r="I493" t="str">
        <v>Her türlü ahşap kapı kasası, kapı kanadı, pencere ve camekan sökülmesi</v>
      </c>
      <c r="J493" t="str">
        <v/>
      </c>
      <c r="K493" s="2">
        <v>286.75</v>
      </c>
      <c r="M493" s="1">
        <v>89</v>
      </c>
      <c r="N493" t="str">
        <v>inşaat</v>
      </c>
      <c r="O493" t="str">
        <v>15.106.1132 (48)</v>
      </c>
    </row>
    <row r="494" ht="15" customHeight="1">
      <c r="C494" t="str">
        <v>sökülmesi</v>
      </c>
    </row>
    <row r="495" ht="15" customHeight="1">
      <c r="A495" s="1">
        <v>474</v>
      </c>
      <c r="B495" s="1">
        <v>474</v>
      </c>
      <c r="C495" t="str">
        <v>Tezgah üstü mermeri sökülmesi</v>
      </c>
      <c r="D495" t="str">
        <v>metrekare</v>
      </c>
      <c r="E495" s="3">
        <v>5.4</v>
      </c>
      <c r="F495" s="2">
        <v>296.14</v>
      </c>
      <c r="G495" s="2">
        <f>IF(F495="","",E495*F495)</f>
        <v>1599.16</v>
      </c>
      <c r="H495" t="str">
        <v>15.106.1127</v>
      </c>
      <c r="I495" t="str">
        <v>Tezgah üstü mermeri sökülmesi</v>
      </c>
      <c r="J495" t="str">
        <v/>
      </c>
      <c r="K495" s="2">
        <v>296.14</v>
      </c>
      <c r="M495" s="1">
        <v>86</v>
      </c>
      <c r="N495" t="str">
        <v>inşaat</v>
      </c>
      <c r="O495" t="str">
        <v>15.520.1003 (25)</v>
      </c>
    </row>
    <row r="496" ht="45" customHeight="1" xml:space="preserve">
      <c r="A496" s="1">
        <v>475</v>
      </c>
      <c r="B496" s="1">
        <v>475</v>
      </c>
      <c r="C496" t="str" xml:space="preserve">
        <v xml:space="preserve">Alüminyum, sac, alçıpanel, taşyünü, camyünü vb. asma tavan_x000d_
sökülmesi</v>
      </c>
      <c r="D496" t="str">
        <v>metrekare</v>
      </c>
      <c r="E496" s="6">
        <v>420.37</v>
      </c>
      <c r="F496" s="2">
        <v>345.49</v>
      </c>
      <c r="G496" s="2">
        <f>IF(F496="","",E496*F496)</f>
        <v>145233.63</v>
      </c>
      <c r="H496" t="str">
        <v>15.106.1129</v>
      </c>
      <c r="I496" t="str">
        <v>Alüminyum, sac, alçıpanel, taşyünü, camyünü vb. asma tavan sökülmesi</v>
      </c>
      <c r="J496" t="str">
        <v/>
      </c>
      <c r="K496" s="2">
        <v>345.49</v>
      </c>
      <c r="M496" s="1">
        <v>93</v>
      </c>
      <c r="N496" t="str">
        <v>inşaat</v>
      </c>
      <c r="O496" t="str">
        <v>15.106.1128 (42)</v>
      </c>
    </row>
    <row r="497" ht="30" customHeight="1" xml:space="preserve">
      <c r="A497" s="1">
        <v>476</v>
      </c>
      <c r="B497" s="1">
        <v>476</v>
      </c>
      <c r="C497" t="str" xml:space="preserve">
        <v xml:space="preserve">İdare malı demir imalatın_x000d_
sökülmesi</v>
      </c>
      <c r="D497" t="str">
        <v>kilogram</v>
      </c>
      <c r="E497" s="4">
        <v>10000</v>
      </c>
      <c r="F497" s="2">
        <v>64.96</v>
      </c>
      <c r="G497" s="2">
        <f>IF(F497="","",E497*F497)</f>
        <v>649600</v>
      </c>
      <c r="H497" t="str">
        <v>KTB.90.6002</v>
      </c>
      <c r="I497" t="str">
        <v>Her türlü demir (kapı, pencere, camekan, korkuluk, parmaklık, sac kapı kasası vb.) imalatın sökülmesi</v>
      </c>
      <c r="J497" t="str">
        <v>Kg</v>
      </c>
      <c r="K497" s="2">
        <v>64.96</v>
      </c>
      <c r="M497" s="1">
        <v>34</v>
      </c>
      <c r="N497" t="str">
        <v>kultur-ve-turizm-bakanligi-2026-birim-fiyatlari — GÜNCEL FİYAT YOK</v>
      </c>
      <c r="O497" t="str">
        <v>15.106.1132 (32)</v>
      </c>
    </row>
    <row r="498" ht="30" customHeight="1" xml:space="preserve">
      <c r="A498" s="1">
        <v>477</v>
      </c>
      <c r="B498" s="1">
        <v>477</v>
      </c>
      <c r="C498" t="str" xml:space="preserve">
        <v xml:space="preserve">Mutfak dolabı sökülmesi (Alt ve_x000d_
üst)</v>
      </c>
      <c r="D498" t="str">
        <v>metrekare</v>
      </c>
      <c r="E498" s="1">
        <v>10</v>
      </c>
      <c r="F498" s="2">
        <v>256.25</v>
      </c>
      <c r="G498" s="2">
        <f>IF(F498="","",E498*F498)</f>
        <v>2562.5</v>
      </c>
      <c r="H498" t="str">
        <v>V.0337</v>
      </c>
      <c r="I498" t="str">
        <v>Şap Sökülmesi</v>
      </c>
      <c r="J498" t="str">
        <v>M²</v>
      </c>
      <c r="K498" s="2">
        <v>256.25</v>
      </c>
      <c r="M498" s="1">
        <v>22</v>
      </c>
      <c r="N498" t="str">
        <v>kultur-ve-turizm-bakanligi-2026-birim-fiyatlari — GÜNCEL FİYAT YOK</v>
      </c>
      <c r="O498" t="str">
        <v>KTB.90.6001 (22)</v>
      </c>
    </row>
    <row r="499" ht="60" customHeight="1" xml:space="preserve">
      <c r="A499" s="1">
        <v>478</v>
      </c>
      <c r="B499" s="1">
        <v>478</v>
      </c>
      <c r="C499" t="str" xml:space="preserve">
        <v xml:space="preserve">Mineral dolgulu kompozit alüminyum levhalar ile cephe kaplaması Yapılması (Isı_x000d_
yalıtımsız)</v>
      </c>
      <c r="D499" t="str">
        <v>metrekare</v>
      </c>
      <c r="E499" s="5">
        <v>872.637</v>
      </c>
      <c r="F499" s="2">
        <v>3133.13</v>
      </c>
      <c r="G499" s="2">
        <f>IF(F499="","",E499*F499)</f>
        <v>2734085.16</v>
      </c>
      <c r="H499" t="str">
        <v>KTB.51.2004</v>
      </c>
      <c r="I499" t="str">
        <v>Fibercement Levhalar ile Mekanik sistem cephe kaplaması yapılması</v>
      </c>
      <c r="J499" t="str">
        <v>m²</v>
      </c>
      <c r="K499" s="2">
        <v>3133.13</v>
      </c>
      <c r="M499" s="1">
        <v>36</v>
      </c>
      <c r="N499" t="str">
        <v>kultur-ve-turizm-bakanligi-2026-birim-fiyatlari — GÜNCEL FİYAT YOK</v>
      </c>
      <c r="O499" t="str">
        <v>KTB.51.4001 (36)</v>
      </c>
    </row>
    <row r="500" ht="45" customHeight="1" xml:space="preserve">
      <c r="A500" s="1">
        <v>479</v>
      </c>
      <c r="B500" s="1">
        <v>479</v>
      </c>
      <c r="C500" t="str" xml:space="preserve">
        <v xml:space="preserve">Ahşap çatı üzerine 0,70 mm. Düz_x000d_
alüminyum levha ile çift kenetli_x000d_
çatı Örtüsü yapılması</v>
      </c>
      <c r="D500" t="str">
        <v>metrekare</v>
      </c>
      <c r="E500" s="1">
        <v>900</v>
      </c>
      <c r="F500" s="2">
        <v>2639.26</v>
      </c>
      <c r="G500" s="2">
        <f>IF(F500="","",E500*F500)</f>
        <v>2375334</v>
      </c>
      <c r="H500" t="str">
        <v>15.325.1004</v>
      </c>
      <c r="I500" t="str">
        <v>Ahşap çatı üzerine 0,70 mm kalınlıkta düz alüminyum levha (EN AW 3003 Al-Mn1 Cu) ile çatı örtüsü yapılması</v>
      </c>
      <c r="J500" t="str">
        <v/>
      </c>
      <c r="K500" s="2">
        <v>2639.26</v>
      </c>
      <c r="M500" s="1">
        <v>59</v>
      </c>
      <c r="N500" t="str">
        <v>inşaat</v>
      </c>
      <c r="O500" t="str">
        <v>15.325.1107 (39)</v>
      </c>
    </row>
    <row r="501" ht="45" customHeight="1" xml:space="preserve">
      <c r="A501" s="1">
        <v>480</v>
      </c>
      <c r="B501" s="1">
        <v>480</v>
      </c>
      <c r="C501" t="str" xml:space="preserve">
        <v xml:space="preserve">MDF üzeri laminat kaplamalı_x000d_
mutfak ve çay ocağı alt dolabı yapılması (1.68x0,85) = 1,43 m2</v>
      </c>
      <c r="D501" t="str">
        <v>metrekare</v>
      </c>
      <c r="E501" s="5">
        <v>2.295</v>
      </c>
      <c r="F501" s="2">
        <v>11721.1</v>
      </c>
      <c r="G501" s="2">
        <f>IF(F501="","",E501*F501)</f>
        <v>26899.92</v>
      </c>
      <c r="H501" t="str">
        <v>15.520.1002</v>
      </c>
      <c r="I501" t="str">
        <v>Tip ahşap mutfak tezgah altı dolabı yapılması ve yerine monte edilmesi (1,68 x 0,85 =1,43m²)</v>
      </c>
      <c r="J501" t="str">
        <v/>
      </c>
      <c r="K501" s="2">
        <v>11721.1</v>
      </c>
      <c r="M501" s="1">
        <v>21</v>
      </c>
      <c r="N501" t="str">
        <v>inşaat</v>
      </c>
    </row>
    <row r="502" ht="45" customHeight="1">
      <c r="A502" s="1">
        <v>481</v>
      </c>
      <c r="B502" s="1">
        <v>481</v>
      </c>
      <c r="C502" t="str">
        <v>MDF üzeri laminat kaplamalı mutfak ve çay ocağı üst dolabı yapılması</v>
      </c>
      <c r="D502" t="str">
        <v>metrekare</v>
      </c>
      <c r="E502" s="6">
        <v>2.16</v>
      </c>
      <c r="G502" t="str">
        <f>IF(F502="","",E502*F502)</f>
        <v/>
      </c>
      <c r="M502" s="1">
        <v>0</v>
      </c>
    </row>
    <row r="503" ht="60" customHeight="1" xml:space="preserve">
      <c r="A503" s="1">
        <v>482</v>
      </c>
      <c r="B503" s="1">
        <v>482</v>
      </c>
      <c r="C503" t="str" xml:space="preserve">
        <v xml:space="preserve">12 mm. KALINLIĞINDA COMPACT LAMİNAT İLE BÖLME PANOSU VE KAPI_x000d_
YAPILMASI</v>
      </c>
      <c r="D503" t="str">
        <v>metrekare</v>
      </c>
      <c r="E503" s="3">
        <v>102.4</v>
      </c>
      <c r="F503" s="2">
        <v>8796.25</v>
      </c>
      <c r="G503" s="2">
        <f>IF(F503="","",E503*F503)</f>
        <v>900736</v>
      </c>
      <c r="H503" t="str">
        <v>KTB.20.2002</v>
      </c>
      <c r="I503" t="str">
        <v>12 mm Kalınlığında Mikrobeton İmalatı Yapılması (Her Renkte)</v>
      </c>
      <c r="J503" t="str">
        <v>m²</v>
      </c>
      <c r="K503" s="2">
        <v>8796.25</v>
      </c>
      <c r="M503" s="1">
        <v>31</v>
      </c>
      <c r="N503" t="str">
        <v>kultur-ve-turizm-bakanligi-2026-birim-fiyatlari — GÜNCEL FİYAT YOK</v>
      </c>
      <c r="O503" t="str">
        <v>KTB.61.4021 (26)</v>
      </c>
    </row>
    <row r="504" ht="60" customHeight="1" xml:space="preserve">
      <c r="A504" s="1">
        <v>483</v>
      </c>
      <c r="B504" s="1">
        <v>483</v>
      </c>
      <c r="C504" t="str" xml:space="preserve">
        <v xml:space="preserve">Çimentolu Yonga levhalar ile mevcut çelik konstrüksiyon üstüne zemin kaplaması_x000d_
yapılması</v>
      </c>
      <c r="D504" t="str">
        <v>metrekare</v>
      </c>
      <c r="E504" s="1">
        <v>200</v>
      </c>
      <c r="F504" s="2">
        <v>220</v>
      </c>
      <c r="G504" s="2">
        <f>IF(F504="","",E504*F504)</f>
        <v>44000</v>
      </c>
      <c r="H504" t="str">
        <v>10.240.8052</v>
      </c>
      <c r="I504" t="str">
        <v>10 mm kalınlıkta</v>
      </c>
      <c r="J504" t="str">
        <v>m²</v>
      </c>
      <c r="K504" s="2">
        <v>220</v>
      </c>
      <c r="M504" s="1">
        <v>37</v>
      </c>
      <c r="N504" t="str">
        <v>kitap — GÜNCEL FİYAT YOK</v>
      </c>
      <c r="O504" t="str">
        <v>10.240.8057 (36)</v>
      </c>
    </row>
    <row r="505" ht="30" customHeight="1">
      <c r="A505" s="1">
        <v>484</v>
      </c>
      <c r="B505" s="1">
        <v>484</v>
      </c>
      <c r="C505" t="str">
        <v>10 cm kalınlığında 400 kg çimento dozlu şap yapılması</v>
      </c>
      <c r="D505" t="str">
        <v>metreküp</v>
      </c>
      <c r="E505" s="1">
        <v>421</v>
      </c>
      <c r="F505" s="2">
        <v>497.69</v>
      </c>
      <c r="G505" s="2">
        <f>IF(F505="","",E505*F505)</f>
        <v>209527.49</v>
      </c>
      <c r="H505" t="str">
        <v>15.250.1111</v>
      </c>
      <c r="I505" t="str">
        <v>2.5 cm kalınlığında 400 kg çimento dozlu şap yapılması</v>
      </c>
      <c r="J505" t="str">
        <v/>
      </c>
      <c r="K505" s="2">
        <v>497.69</v>
      </c>
      <c r="M505" s="1">
        <v>62</v>
      </c>
      <c r="N505" t="str">
        <v>inşaat</v>
      </c>
    </row>
    <row r="506" ht="30" customHeight="1">
      <c r="A506" s="1">
        <v>485</v>
      </c>
      <c r="B506" s="1">
        <v>485</v>
      </c>
      <c r="C506" t="str">
        <v>Ağaç altı power led aydınlatma armatürü ve montajı</v>
      </c>
      <c r="D506" t="str">
        <v>adet</v>
      </c>
      <c r="E506" s="1">
        <v>10</v>
      </c>
      <c r="F506" s="2">
        <v>1073.5</v>
      </c>
      <c r="G506" s="2">
        <f>IF(F506="","",E506*F506)</f>
        <v>10735</v>
      </c>
      <c r="H506" t="str">
        <v>35.170.3140</v>
      </c>
      <c r="I506" t="str">
        <v>Radar sensörü</v>
      </c>
      <c r="J506" t="str">
        <v>Ad</v>
      </c>
      <c r="K506" s="2">
        <v>1073.5</v>
      </c>
      <c r="L506" s="2">
        <v>0</v>
      </c>
      <c r="M506" s="1">
        <v>40</v>
      </c>
      <c r="N506" t="str">
        <v>elektrik</v>
      </c>
      <c r="O506" t="str">
        <v>35.170.3130 (39)</v>
      </c>
    </row>
    <row r="507" ht="45" customHeight="1">
      <c r="A507" s="1">
        <v>486</v>
      </c>
      <c r="B507" s="1">
        <v>486</v>
      </c>
      <c r="C507" t="str">
        <v>Her renk Alüminyum Izgaralı Petek Plakalarla sarkmalı sistem asma tavan yapılması</v>
      </c>
      <c r="D507" t="str">
        <v>metrekare</v>
      </c>
      <c r="E507" s="1">
        <v>63</v>
      </c>
      <c r="F507" s="2">
        <v>1609.74</v>
      </c>
      <c r="G507" s="2">
        <f>IF(F507="","",E507*F507)</f>
        <v>101413.62</v>
      </c>
      <c r="H507" t="str">
        <v>KTB.10.6003</v>
      </c>
      <c r="I507" t="str">
        <v>Her renk Alüminyum Izgaralı Petek Plakalarla sarkmalı sistem asma tavan yapılması</v>
      </c>
      <c r="J507" t="str">
        <v>m²</v>
      </c>
      <c r="K507" s="2">
        <v>1609.74</v>
      </c>
      <c r="M507" s="1">
        <v>100</v>
      </c>
      <c r="N507" t="str">
        <v>kultur-ve-turizm-bakanligi-2026-birim-fiyatlari — GÜNCEL FİYAT YOK</v>
      </c>
      <c r="O507" t="str">
        <v>KTB.10.6001 (40)</v>
      </c>
    </row>
    <row r="508" ht="15" customHeight="1">
      <c r="A508" s="1">
        <v>487</v>
      </c>
      <c r="B508" s="1">
        <v>487</v>
      </c>
      <c r="C508" t="str">
        <v>CCTV Monitor 31.5 ''- 42''</v>
      </c>
      <c r="D508" t="str">
        <v>adet</v>
      </c>
      <c r="E508" s="1">
        <v>1</v>
      </c>
      <c r="F508" s="2">
        <v>13600</v>
      </c>
      <c r="G508" s="2">
        <f>IF(F508="","",E508*F508)</f>
        <v>13600</v>
      </c>
      <c r="H508" t="str">
        <v>04.KTB.8607</v>
      </c>
      <c r="I508" t="str">
        <v>CCTV Monitor 31.5 ''- 42''</v>
      </c>
      <c r="J508" t="str">
        <v>Adet</v>
      </c>
      <c r="K508" s="2">
        <v>13600</v>
      </c>
      <c r="M508" s="1">
        <v>100</v>
      </c>
      <c r="N508" t="str">
        <v>kultur-ve-turizm-bakanligi-2026-birim-fiyatlari — GÜNCEL FİYAT YOK</v>
      </c>
      <c r="O508" t="str">
        <v>04.KTB.8608 (51)</v>
      </c>
    </row>
    <row r="509" ht="135" customHeight="1" xml:space="preserve">
      <c r="A509" s="1">
        <v>488</v>
      </c>
      <c r="B509" s="1">
        <v>488</v>
      </c>
      <c r="C509" t="str" xml:space="preserve">
        <v xml:space="preserve">Foseptik tahliye cihazı, 2 adet Parçalayıcı Bıçaklı pompa 2 x 1,5 kW, otomatik seviye algılama sistemi, termik korumalı pompa (220V, 50 Hz), 2900 rpm, IP68,_x000d_
harici elektronik kumanda panosu, kablolu alarm modülü dahil, Maks basma yüksekliği 11_x000d_
m, Maks de</v>
      </c>
      <c r="D509" t="str">
        <v>adet</v>
      </c>
      <c r="E509" s="1">
        <v>1</v>
      </c>
      <c r="G509" t="str">
        <f>IF(F509="","",E509*F509)</f>
        <v/>
      </c>
      <c r="M509" s="1">
        <v>0</v>
      </c>
    </row>
    <row r="510" ht="30" customHeight="1" xml:space="preserve">
      <c r="A510" s="1">
        <v>489</v>
      </c>
      <c r="B510" s="1">
        <v>489</v>
      </c>
      <c r="C510" t="str" xml:space="preserve">
        <v xml:space="preserve">32 Giriş, 16 Çıkış Sahne Kutusu_x000d_
(Stage Box)</v>
      </c>
      <c r="D510" t="str">
        <v>adet</v>
      </c>
      <c r="E510" s="1">
        <v>1</v>
      </c>
      <c r="G510" t="str">
        <f>IF(F510="","",E510*F510)</f>
        <v/>
      </c>
      <c r="M510" s="1">
        <v>0</v>
      </c>
    </row>
    <row r="511" ht="30" customHeight="1">
      <c r="A511" s="1">
        <v>490</v>
      </c>
      <c r="B511" s="1">
        <v>490</v>
      </c>
      <c r="C511" t="str">
        <v>5 inç Çift aktif ön dinleme monitör hoperlörü</v>
      </c>
      <c r="D511" t="str">
        <v>adet</v>
      </c>
      <c r="E511" s="1">
        <v>2</v>
      </c>
      <c r="G511" t="str">
        <f>IF(F511="","",E511*F511)</f>
        <v/>
      </c>
      <c r="M511" s="1">
        <v>0</v>
      </c>
    </row>
    <row r="512" ht="30" customHeight="1" xml:space="preserve">
      <c r="A512" s="1">
        <v>491</v>
      </c>
      <c r="B512" s="1">
        <v>491</v>
      </c>
      <c r="C512" t="str" xml:space="preserve">
        <v xml:space="preserve">4 Giriş 8 Çıkışlı Dijital sistem_x000d_
presesörü</v>
      </c>
      <c r="D512" t="str">
        <v>adet</v>
      </c>
      <c r="E512" s="1">
        <v>1</v>
      </c>
      <c r="F512" s="2">
        <v>165200.54</v>
      </c>
      <c r="G512" s="2">
        <f>IF(F512="","",E512*F512)</f>
        <v>165200.54</v>
      </c>
      <c r="H512" t="str">
        <v>35.481.2103</v>
      </c>
      <c r="I512" t="str">
        <v>8 HDMI giriş / 4 DVB-C/T çıkışlı Encoder Modülatör</v>
      </c>
      <c r="J512" t="str">
        <v>Ad</v>
      </c>
      <c r="K512" s="2">
        <v>165200.54</v>
      </c>
      <c r="L512" s="2">
        <v>5284.89</v>
      </c>
      <c r="M512" s="1">
        <v>26</v>
      </c>
      <c r="N512" t="str">
        <v>elektrik</v>
      </c>
      <c r="O512" t="str">
        <v>35.481.2212 (26)</v>
      </c>
    </row>
    <row r="513" ht="15" customHeight="1">
      <c r="A513" s="1">
        <v>492</v>
      </c>
      <c r="B513" s="1">
        <v>492</v>
      </c>
      <c r="C513" t="str">
        <v>Aktif Line Array hoperlör</v>
      </c>
      <c r="D513" t="str">
        <v>adet</v>
      </c>
      <c r="E513" s="1">
        <v>8</v>
      </c>
      <c r="G513" t="str">
        <f>IF(F513="","",E513*F513)</f>
        <v/>
      </c>
      <c r="M513" s="1">
        <v>0</v>
      </c>
    </row>
    <row r="514" ht="15" customHeight="1">
      <c r="A514" s="1">
        <v>493</v>
      </c>
      <c r="B514" s="1">
        <v>493</v>
      </c>
      <c r="C514" t="str">
        <v>18" Aktif subwoofer hoperlör</v>
      </c>
      <c r="D514" t="str">
        <v>adet</v>
      </c>
      <c r="E514" s="1">
        <v>2</v>
      </c>
      <c r="F514" s="2">
        <v>20010.48</v>
      </c>
      <c r="G514" s="2">
        <f>IF(F514="","",E514*F514)</f>
        <v>40020.96</v>
      </c>
      <c r="H514" t="str">
        <v>35.446.1120</v>
      </c>
      <c r="I514" t="str">
        <v>16 Port PoE Ağ Anahtarı, en az 16 adet 10/100/1000 Mbps Ethernet PoE portu, en az 2 adet 1000 Base-X SFP portu, en az 240W toplam PoE gücü, 18 aktif port</v>
      </c>
      <c r="J514" t="str">
        <v>Ad</v>
      </c>
      <c r="K514" s="2">
        <v>20010.48</v>
      </c>
      <c r="L514" s="2">
        <v>2260.99</v>
      </c>
      <c r="M514" s="1">
        <v>25</v>
      </c>
      <c r="N514" t="str">
        <v>elektrik</v>
      </c>
      <c r="O514" t="str">
        <v>35.445.1602 (25)</v>
      </c>
    </row>
    <row r="515" ht="30" customHeight="1">
      <c r="A515" s="1">
        <v>494</v>
      </c>
      <c r="B515" s="1">
        <v>494</v>
      </c>
      <c r="C515" t="str">
        <v>15" Aktif subwoofer hoperlör Line Array</v>
      </c>
      <c r="D515" t="str">
        <v>adet</v>
      </c>
      <c r="E515" s="1">
        <v>4</v>
      </c>
      <c r="G515" t="str">
        <f>IF(F515="","",E515*F515)</f>
        <v/>
      </c>
      <c r="M515" s="1">
        <v>0</v>
      </c>
    </row>
    <row r="516" ht="30" customHeight="1">
      <c r="A516" s="1">
        <v>495</v>
      </c>
      <c r="B516" s="1">
        <v>495</v>
      </c>
      <c r="C516" t="str">
        <v>Line Array Hoperlör uçurma askı aparatı</v>
      </c>
      <c r="D516" t="str">
        <v>adet</v>
      </c>
      <c r="E516" s="1">
        <v>4</v>
      </c>
      <c r="F516" s="2">
        <v>421.31</v>
      </c>
      <c r="G516" s="2">
        <f>IF(F516="","",E516*F516)</f>
        <v>1685.24</v>
      </c>
      <c r="H516" t="str">
        <v>35.170.2310</v>
      </c>
      <c r="I516" t="str">
        <v>En az 100 cm</v>
      </c>
      <c r="J516" t="str">
        <v>Adet</v>
      </c>
      <c r="K516" s="2">
        <v>421.31</v>
      </c>
      <c r="L516" s="2">
        <v>216.2</v>
      </c>
      <c r="M516" s="1">
        <v>23</v>
      </c>
      <c r="N516" t="str">
        <v>elektrik</v>
      </c>
      <c r="O516" t="str">
        <v>35.170.2330 (23)</v>
      </c>
    </row>
    <row r="517" ht="15" customHeight="1">
      <c r="A517" s="1">
        <v>496</v>
      </c>
      <c r="B517" s="1">
        <v>496</v>
      </c>
      <c r="C517" t="str">
        <v>12" Aktif sahne monitör hoperlörü</v>
      </c>
      <c r="D517" t="str">
        <v>adet</v>
      </c>
      <c r="E517" s="1">
        <v>4</v>
      </c>
      <c r="F517" s="2">
        <v>28885.33</v>
      </c>
      <c r="G517" s="2">
        <f>IF(F517="","",E517*F517)</f>
        <v>115541.32</v>
      </c>
      <c r="H517" t="str">
        <v>35.705.1333</v>
      </c>
      <c r="I517" t="str">
        <v>12"-Subwoofer Hoparlör</v>
      </c>
      <c r="J517" t="str">
        <v>Ad</v>
      </c>
      <c r="K517" s="2">
        <v>28885.33</v>
      </c>
      <c r="L517" s="2">
        <v>893.29</v>
      </c>
      <c r="M517" s="1">
        <v>37</v>
      </c>
      <c r="N517" t="str">
        <v>elektrik</v>
      </c>
      <c r="O517" t="str">
        <v>35.705.1354 (37)</v>
      </c>
    </row>
    <row r="518" ht="15" customHeight="1">
      <c r="A518" s="1">
        <v>497</v>
      </c>
      <c r="B518" s="1">
        <v>497</v>
      </c>
      <c r="C518" t="str">
        <v>15" Aktif sahne hoperlörü</v>
      </c>
      <c r="D518" t="str">
        <v>adet</v>
      </c>
      <c r="E518" s="1">
        <v>2</v>
      </c>
      <c r="F518" s="2">
        <v>38451.65</v>
      </c>
      <c r="G518" s="2">
        <f>IF(F518="","",E518*F518)</f>
        <v>76903.3</v>
      </c>
      <c r="H518" t="str">
        <v>35.705.1304</v>
      </c>
      <c r="I518" t="str">
        <v>15"-Monitör Hoparlör</v>
      </c>
      <c r="J518" t="str">
        <v>Ad</v>
      </c>
      <c r="K518" s="2">
        <v>38451.65</v>
      </c>
      <c r="L518" s="2">
        <v>1268.68</v>
      </c>
      <c r="M518" s="1">
        <v>23</v>
      </c>
      <c r="N518" t="str">
        <v>elektrik</v>
      </c>
      <c r="O518" t="str">
        <v>35.705.1334 (21)</v>
      </c>
    </row>
    <row r="519" ht="15" customHeight="1">
      <c r="A519" s="1">
        <v>498</v>
      </c>
      <c r="B519" s="1">
        <v>498</v>
      </c>
      <c r="C519" t="str">
        <v>Hoparlör Sehpası</v>
      </c>
      <c r="D519" t="str">
        <v>adet</v>
      </c>
      <c r="E519" s="1">
        <v>4</v>
      </c>
      <c r="G519" t="str">
        <f>IF(F519="","",E519*F519)</f>
        <v/>
      </c>
      <c r="M519" s="1">
        <v>0</v>
      </c>
    </row>
    <row r="520" ht="15" customHeight="1">
      <c r="A520" s="1">
        <v>499</v>
      </c>
      <c r="B520" s="1">
        <v>499</v>
      </c>
      <c r="C520" t="str">
        <v>Kafa tipi telsiz mikrofon seti</v>
      </c>
      <c r="D520" t="str">
        <v>adet</v>
      </c>
      <c r="E520" s="1">
        <v>6</v>
      </c>
      <c r="F520" s="2">
        <v>6728.6</v>
      </c>
      <c r="G520" s="2">
        <f>IF(F520="","",E520*F520)</f>
        <v>40371.6</v>
      </c>
      <c r="H520" t="str">
        <v>35.705.1601</v>
      </c>
      <c r="I520" t="str">
        <v>El tipi</v>
      </c>
      <c r="J520" t="str">
        <v>Ad</v>
      </c>
      <c r="K520" s="2">
        <v>6728.6</v>
      </c>
      <c r="L520" s="2">
        <v>0</v>
      </c>
      <c r="M520" s="1">
        <v>48</v>
      </c>
      <c r="N520" t="str">
        <v>elektrik</v>
      </c>
      <c r="O520" t="str">
        <v>35.705.1603 (39)</v>
      </c>
    </row>
    <row r="521" ht="15" customHeight="1">
      <c r="A521" s="1">
        <v>500</v>
      </c>
      <c r="B521" s="1">
        <v>500</v>
      </c>
      <c r="C521" t="str">
        <v>El tipi telsiz mikrofon seti</v>
      </c>
      <c r="D521" t="str">
        <v>adet</v>
      </c>
      <c r="E521" s="1">
        <v>8</v>
      </c>
      <c r="F521" s="2">
        <v>6728.6</v>
      </c>
      <c r="G521" s="2">
        <f>IF(F521="","",E521*F521)</f>
        <v>53828.8</v>
      </c>
      <c r="H521" t="str">
        <v>35.705.1601</v>
      </c>
      <c r="I521" t="str">
        <v>El tipi</v>
      </c>
      <c r="J521" t="str">
        <v>Ad</v>
      </c>
      <c r="K521" s="2">
        <v>6728.6</v>
      </c>
      <c r="L521" s="2">
        <v>0</v>
      </c>
      <c r="M521" s="1">
        <v>66</v>
      </c>
      <c r="N521" t="str">
        <v>elektrik</v>
      </c>
      <c r="O521" t="str">
        <v>35.705.1603 (47)</v>
      </c>
    </row>
    <row r="522" ht="30" customHeight="1">
      <c r="A522" s="1">
        <v>501</v>
      </c>
      <c r="B522" s="1">
        <v>501</v>
      </c>
      <c r="C522" t="str">
        <v>Süperkardiyodid Dinamik kablolu Vokal Mikrofonu</v>
      </c>
      <c r="D522" t="str">
        <v>adet</v>
      </c>
      <c r="E522" s="1">
        <v>1</v>
      </c>
      <c r="F522" s="2">
        <v>2871.04</v>
      </c>
      <c r="G522" s="2">
        <f>IF(F522="","",E522*F522)</f>
        <v>2871.04</v>
      </c>
      <c r="H522" t="str">
        <v>35.705.4384</v>
      </c>
      <c r="I522" t="str">
        <v>Kablolu el mikrofonu</v>
      </c>
      <c r="J522" t="str">
        <v>Ad</v>
      </c>
      <c r="K522" s="2">
        <v>2871.04</v>
      </c>
      <c r="L522" s="2">
        <v>244.7</v>
      </c>
      <c r="M522" s="1">
        <v>26</v>
      </c>
      <c r="N522" t="str">
        <v>elektrik</v>
      </c>
      <c r="O522" t="str">
        <v>35.705.4388 (25)</v>
      </c>
    </row>
    <row r="523" ht="30" customHeight="1">
      <c r="A523" s="1">
        <v>502</v>
      </c>
      <c r="B523" s="1">
        <v>502</v>
      </c>
      <c r="C523" t="str">
        <v>Kardiyodid Dinamik Kablolu Vokal Mikrofonu</v>
      </c>
      <c r="D523" t="str">
        <v>adet</v>
      </c>
      <c r="E523" s="1">
        <v>4</v>
      </c>
      <c r="F523" s="2">
        <v>2871.04</v>
      </c>
      <c r="G523" s="2">
        <f>IF(F523="","",E523*F523)</f>
        <v>11484.16</v>
      </c>
      <c r="H523" t="str">
        <v>35.705.4384</v>
      </c>
      <c r="I523" t="str">
        <v>Kablolu el mikrofonu</v>
      </c>
      <c r="J523" t="str">
        <v>Ad</v>
      </c>
      <c r="K523" s="2">
        <v>2871.04</v>
      </c>
      <c r="L523" s="2">
        <v>244.7</v>
      </c>
      <c r="M523" s="1">
        <v>26</v>
      </c>
      <c r="N523" t="str">
        <v>elektrik</v>
      </c>
      <c r="O523" t="str">
        <v>35.705.4388 (25)</v>
      </c>
    </row>
    <row r="524" ht="30" customHeight="1">
      <c r="A524" s="1">
        <v>503</v>
      </c>
      <c r="B524" s="1">
        <v>503</v>
      </c>
      <c r="C524" t="str">
        <v>Kardiyot Dinamik Kablolu Enstrüman Mikrofonu</v>
      </c>
      <c r="D524" t="str">
        <v>adet</v>
      </c>
      <c r="E524" s="1">
        <v>6</v>
      </c>
      <c r="F524" s="2">
        <v>2871.04</v>
      </c>
      <c r="G524" s="2">
        <f>IF(F524="","",E524*F524)</f>
        <v>17226.24</v>
      </c>
      <c r="H524" t="str">
        <v>35.705.4384</v>
      </c>
      <c r="I524" t="str">
        <v>Kablolu el mikrofonu</v>
      </c>
      <c r="J524" t="str">
        <v>Ad</v>
      </c>
      <c r="K524" s="2">
        <v>2871.04</v>
      </c>
      <c r="L524" s="2">
        <v>244.7</v>
      </c>
      <c r="M524" s="1">
        <v>26</v>
      </c>
      <c r="N524" t="str">
        <v>elektrik</v>
      </c>
      <c r="O524" t="str">
        <v>35.705.4388 (25)</v>
      </c>
    </row>
    <row r="525" ht="30" customHeight="1">
      <c r="A525" s="1">
        <v>504</v>
      </c>
      <c r="B525" s="1">
        <v>504</v>
      </c>
      <c r="C525" t="str">
        <v>Kardiyot Kondenser Kablolu Enstrüman-Koro Mikrofonu</v>
      </c>
      <c r="D525" t="str">
        <v>adet</v>
      </c>
      <c r="E525" s="1">
        <v>6</v>
      </c>
      <c r="F525" s="2">
        <v>2871.04</v>
      </c>
      <c r="G525" s="2">
        <f>IF(F525="","",E525*F525)</f>
        <v>17226.24</v>
      </c>
      <c r="H525" t="str">
        <v>35.705.4384</v>
      </c>
      <c r="I525" t="str">
        <v>Kablolu el mikrofonu</v>
      </c>
      <c r="J525" t="str">
        <v>Ad</v>
      </c>
      <c r="K525" s="2">
        <v>2871.04</v>
      </c>
      <c r="L525" s="2">
        <v>244.7</v>
      </c>
      <c r="M525" s="1">
        <v>23</v>
      </c>
      <c r="N525" t="str">
        <v>elektrik</v>
      </c>
      <c r="O525" t="str">
        <v>35.705.4388 (22)</v>
      </c>
    </row>
    <row r="526" ht="15" customHeight="1">
      <c r="A526" s="1">
        <v>505</v>
      </c>
      <c r="B526" s="1">
        <v>505</v>
      </c>
      <c r="C526" t="str">
        <v>Aktif DI Box</v>
      </c>
      <c r="D526" t="str">
        <v>adet</v>
      </c>
      <c r="E526" s="1">
        <v>10</v>
      </c>
      <c r="G526" t="str">
        <f>IF(F526="","",E526*F526)</f>
        <v/>
      </c>
      <c r="M526" s="1">
        <v>0</v>
      </c>
    </row>
    <row r="527" ht="30" customHeight="1" xml:space="preserve">
      <c r="A527" s="1">
        <v>506</v>
      </c>
      <c r="B527" s="1">
        <v>506</v>
      </c>
      <c r="C527" t="str" xml:space="preserve">
        <v xml:space="preserve">2 Metre XLR-XLR sonlandırılmış_x000d_
Sinyal Kablosu</v>
      </c>
      <c r="D527" t="str">
        <v>adet</v>
      </c>
      <c r="E527" s="1">
        <v>40</v>
      </c>
      <c r="G527" t="str">
        <f>IF(F527="","",E527*F527)</f>
        <v/>
      </c>
      <c r="M527" s="1">
        <v>0</v>
      </c>
    </row>
    <row r="528" ht="15" customHeight="1">
      <c r="A528" s="1">
        <v>507</v>
      </c>
      <c r="B528" s="1">
        <v>507</v>
      </c>
      <c r="C528" t="str">
        <v>XLR-XLR Kablo 6 Metre</v>
      </c>
      <c r="D528" t="str">
        <v>adet</v>
      </c>
      <c r="E528" s="1">
        <v>28</v>
      </c>
      <c r="G528" t="str">
        <f>IF(F528="","",E528*F528)</f>
        <v/>
      </c>
      <c r="M528" s="1">
        <v>0</v>
      </c>
    </row>
    <row r="529" ht="15" customHeight="1">
      <c r="A529" s="1">
        <v>508</v>
      </c>
      <c r="B529" s="1">
        <v>508</v>
      </c>
      <c r="C529" t="str">
        <v>XLR-XLR Kablo 10 Metre</v>
      </c>
      <c r="D529" t="str">
        <v>adet</v>
      </c>
      <c r="E529" s="1">
        <v>28</v>
      </c>
      <c r="F529" s="2">
        <v>958.95</v>
      </c>
      <c r="G529" s="2">
        <f>IF(F529="","",E529*F529)</f>
        <v>26850.6</v>
      </c>
      <c r="H529" t="str">
        <v>35.525.1125</v>
      </c>
      <c r="I529" t="str">
        <v>10 metre 4K(3840x2160)30Hz HDMI 2.0 kablo</v>
      </c>
      <c r="J529" t="str">
        <v>m</v>
      </c>
      <c r="K529" s="2">
        <v>958.95</v>
      </c>
      <c r="L529" s="2">
        <v>153</v>
      </c>
      <c r="M529" s="1">
        <v>25</v>
      </c>
      <c r="N529" t="str">
        <v>elektrik</v>
      </c>
    </row>
    <row r="530" ht="15" customHeight="1">
      <c r="A530" s="1">
        <v>509</v>
      </c>
      <c r="B530" s="1">
        <v>509</v>
      </c>
      <c r="C530" t="str">
        <v>Mono Jak-Mono Jak Kablo 6 Metre</v>
      </c>
      <c r="D530" t="str">
        <v>adet</v>
      </c>
      <c r="E530" s="1">
        <v>21</v>
      </c>
      <c r="G530" t="str">
        <f>IF(F530="","",E530*F530)</f>
        <v/>
      </c>
      <c r="M530" s="1">
        <v>0</v>
      </c>
    </row>
    <row r="531" ht="15" customHeight="1">
      <c r="A531" s="1">
        <v>510</v>
      </c>
      <c r="B531" s="1">
        <v>510</v>
      </c>
      <c r="C531" t="str">
        <v>Tablet (Ağdan Sistem Kontrol İçin)</v>
      </c>
      <c r="D531" t="str">
        <v>adet</v>
      </c>
      <c r="E531" s="1">
        <v>1</v>
      </c>
      <c r="G531" t="str">
        <f>IF(F531="","",E531*F531)</f>
        <v/>
      </c>
      <c r="M531" s="1">
        <v>0</v>
      </c>
    </row>
    <row r="532" ht="30" customHeight="1" xml:space="preserve">
      <c r="A532" s="1">
        <v>511</v>
      </c>
      <c r="B532" s="1">
        <v>511</v>
      </c>
      <c r="C532" t="str" xml:space="preserve">
        <v xml:space="preserve">Kablosuz Erişim Noktası (access_x000d_
point)</v>
      </c>
      <c r="D532" t="str">
        <v>adet</v>
      </c>
      <c r="E532" s="1">
        <v>2</v>
      </c>
      <c r="F532" s="2">
        <v>12720.71</v>
      </c>
      <c r="G532" s="2">
        <f>IF(F532="","",E532*F532)</f>
        <v>25441.42</v>
      </c>
      <c r="H532" t="str">
        <v>35.446.7124</v>
      </c>
      <c r="I532" t="str">
        <v>En az AX3600 En az 1 adet 10M/100M/1G/2.5G Ethernet PoE+ destekli port</v>
      </c>
      <c r="J532" t="str">
        <v>Ad</v>
      </c>
      <c r="K532" s="2">
        <v>12720.71</v>
      </c>
      <c r="L532" s="2">
        <v>947.85</v>
      </c>
      <c r="M532" s="1">
        <v>45</v>
      </c>
      <c r="N532" t="str">
        <v>elektrik</v>
      </c>
      <c r="O532" t="str">
        <v>35.446.7133 (45)</v>
      </c>
    </row>
    <row r="533" ht="30" customHeight="1" xml:space="preserve">
      <c r="A533" s="1">
        <v>512</v>
      </c>
      <c r="B533" s="1">
        <v>512</v>
      </c>
      <c r="C533" t="str" xml:space="preserve">
        <v xml:space="preserve">1024 Kanal DMX Işık Kontrol_x000d_
Konsolu</v>
      </c>
      <c r="D533" t="str">
        <v>adet</v>
      </c>
      <c r="E533" s="1">
        <v>1</v>
      </c>
      <c r="G533" t="str">
        <f>IF(F533="","",E533*F533)</f>
        <v/>
      </c>
      <c r="M533" s="1">
        <v>0</v>
      </c>
    </row>
    <row r="534" ht="30" customHeight="1" xml:space="preserve">
      <c r="A534" s="1">
        <v>513</v>
      </c>
      <c r="B534" s="1">
        <v>513</v>
      </c>
      <c r="C534" t="str" xml:space="preserve">
        <v xml:space="preserve">DMX Sinyal Çoklayıcısı_x000d_
(Splitter)</v>
      </c>
      <c r="D534" t="str">
        <v>adet</v>
      </c>
      <c r="E534" s="1">
        <v>4</v>
      </c>
      <c r="G534" t="str">
        <f>IF(F534="","",E534*F534)</f>
        <v/>
      </c>
      <c r="M534" s="1">
        <v>0</v>
      </c>
    </row>
    <row r="535" ht="30" customHeight="1">
      <c r="A535" s="1">
        <v>514</v>
      </c>
      <c r="B535" s="1">
        <v>514</v>
      </c>
      <c r="C535" t="str">
        <v>LED Profil Tiyatro Spotu, Zoom Lensli</v>
      </c>
      <c r="D535" t="str">
        <v>adet</v>
      </c>
      <c r="E535" s="1">
        <v>6</v>
      </c>
      <c r="G535" t="str">
        <f>IF(F535="","",E535*F535)</f>
        <v/>
      </c>
      <c r="M535" s="1">
        <v>0</v>
      </c>
    </row>
    <row r="536" ht="30" customHeight="1">
      <c r="A536" s="1">
        <v>515</v>
      </c>
      <c r="B536" s="1">
        <v>515</v>
      </c>
      <c r="C536" t="str">
        <v>LED Boyama Fresnel Tip Hareketli Projektör</v>
      </c>
      <c r="D536" t="str">
        <v>adet</v>
      </c>
      <c r="E536" s="1">
        <v>12</v>
      </c>
      <c r="G536" t="str">
        <f>IF(F536="","",E536*F536)</f>
        <v/>
      </c>
      <c r="M536" s="1">
        <v>0</v>
      </c>
    </row>
    <row r="537" ht="15" customHeight="1">
      <c r="A537" s="1">
        <v>516</v>
      </c>
      <c r="B537" s="1">
        <v>516</v>
      </c>
      <c r="C537" t="str">
        <v>Hareketli Beam Tip LED Robot</v>
      </c>
      <c r="D537" t="str">
        <v>adet</v>
      </c>
      <c r="E537" s="1">
        <v>4</v>
      </c>
      <c r="G537" t="str">
        <f>IF(F537="","",E537*F537)</f>
        <v/>
      </c>
      <c r="M537" s="1">
        <v>0</v>
      </c>
    </row>
    <row r="538" ht="15" customHeight="1">
      <c r="A538" s="1">
        <v>517</v>
      </c>
      <c r="B538" s="1">
        <v>517</v>
      </c>
      <c r="C538" t="str">
        <v>LED Boyama Işığı</v>
      </c>
      <c r="D538" t="str">
        <v>adet</v>
      </c>
      <c r="E538" s="1">
        <v>4</v>
      </c>
      <c r="G538" t="str">
        <f>IF(F538="","",E538*F538)</f>
        <v/>
      </c>
      <c r="M538" s="1">
        <v>0</v>
      </c>
    </row>
    <row r="539" ht="15" customHeight="1">
      <c r="A539" s="1">
        <v>518</v>
      </c>
      <c r="B539" s="1">
        <v>518</v>
      </c>
      <c r="C539" t="str">
        <v>Profesyonel Haze Sis Makinesi</v>
      </c>
      <c r="D539" t="str">
        <v>adet</v>
      </c>
      <c r="E539" s="1">
        <v>1</v>
      </c>
      <c r="G539" t="str">
        <f>IF(F539="","",E539*F539)</f>
        <v/>
      </c>
      <c r="M539" s="1">
        <v>0</v>
      </c>
    </row>
    <row r="540" ht="15" customHeight="1">
      <c r="A540" s="1">
        <v>519</v>
      </c>
      <c r="B540" s="1">
        <v>519</v>
      </c>
      <c r="C540" t="str">
        <v>Su Bazlı Haze Sis Likiti</v>
      </c>
      <c r="D540" t="str">
        <v>adet</v>
      </c>
      <c r="E540" s="1">
        <v>4</v>
      </c>
      <c r="F540" s="2">
        <v>85</v>
      </c>
      <c r="G540" s="2">
        <f>IF(F540="","",E540*F540)</f>
        <v>340</v>
      </c>
      <c r="H540" t="str">
        <v>10.300.1171</v>
      </c>
      <c r="I540" t="str">
        <v>Su bazlı boya astarı</v>
      </c>
      <c r="J540" t="str">
        <v>lt</v>
      </c>
      <c r="K540" s="2">
        <v>85</v>
      </c>
      <c r="M540" s="1">
        <v>32</v>
      </c>
      <c r="N540" t="str">
        <v>kitap — GÜNCEL FİYAT YOK</v>
      </c>
      <c r="O540" t="str">
        <v>10.250.1053 (28)</v>
      </c>
    </row>
    <row r="541" ht="15" customHeight="1">
      <c r="A541" s="1">
        <v>520</v>
      </c>
      <c r="B541" s="1">
        <v>520</v>
      </c>
      <c r="C541" t="str">
        <v>Profesyonel Işık Askı Aparatı</v>
      </c>
      <c r="D541" t="str">
        <v>adet</v>
      </c>
      <c r="E541" s="1">
        <v>26</v>
      </c>
      <c r="F541" s="2">
        <v>421.31</v>
      </c>
      <c r="G541" s="2">
        <f>IF(F541="","",E541*F541)</f>
        <v>10954.06</v>
      </c>
      <c r="H541" t="str">
        <v>35.170.2310</v>
      </c>
      <c r="I541" t="str">
        <v>En az 100 cm</v>
      </c>
      <c r="J541" t="str">
        <v>Adet</v>
      </c>
      <c r="K541" s="2">
        <v>421.31</v>
      </c>
      <c r="L541" s="2">
        <v>216.2</v>
      </c>
      <c r="M541" s="1">
        <v>34</v>
      </c>
      <c r="N541" t="str">
        <v>elektrik</v>
      </c>
      <c r="O541" t="str">
        <v>35.170.2330 (33)</v>
      </c>
    </row>
    <row r="542" ht="15" customHeight="1">
      <c r="A542" s="1">
        <v>521</v>
      </c>
      <c r="B542" s="1">
        <v>521</v>
      </c>
      <c r="C542" t="str">
        <v>Güvenlik Işık Halatı 1mt.</v>
      </c>
      <c r="D542" t="str">
        <v>adet</v>
      </c>
      <c r="E542" s="1">
        <v>26</v>
      </c>
      <c r="G542" t="str">
        <f>IF(F542="","",E542*F542)</f>
        <v/>
      </c>
      <c r="M542" s="1">
        <v>0</v>
      </c>
    </row>
    <row r="543" ht="30" customHeight="1" xml:space="preserve">
      <c r="A543" s="1">
        <v>522</v>
      </c>
      <c r="B543" s="1">
        <v>522</v>
      </c>
      <c r="C543" t="str" xml:space="preserve">
        <v xml:space="preserve">7000 Ansilümen Lazer_x000d_
Projeksiyon Cihazı</v>
      </c>
      <c r="D543" t="str">
        <v>adet</v>
      </c>
      <c r="E543" s="1">
        <v>1</v>
      </c>
      <c r="F543" s="2">
        <v>43157.93</v>
      </c>
      <c r="G543" s="2">
        <f>IF(F543="","",E543*F543)</f>
        <v>43157.93</v>
      </c>
      <c r="H543" t="str">
        <v>25.485.1105</v>
      </c>
      <c r="I543" t="str">
        <v>7000 Kcal/h</v>
      </c>
      <c r="J543" t="str">
        <v>ad</v>
      </c>
      <c r="K543" s="2">
        <v>43157.93</v>
      </c>
      <c r="L543" s="2">
        <v>2446.96</v>
      </c>
      <c r="M543" s="1">
        <v>22</v>
      </c>
      <c r="N543" t="str">
        <v>mekanik</v>
      </c>
    </row>
    <row r="544" ht="30" customHeight="1" xml:space="preserve">
      <c r="A544" s="1">
        <v>523</v>
      </c>
      <c r="B544" s="1">
        <v>523</v>
      </c>
      <c r="C544" t="str" xml:space="preserve">
        <v xml:space="preserve">Aktif İki Yollu Profesyonel_x000d_
Hoperlör</v>
      </c>
      <c r="D544" t="str">
        <v>adet</v>
      </c>
      <c r="E544" s="1">
        <v>2</v>
      </c>
      <c r="F544" s="2">
        <v>4113</v>
      </c>
      <c r="G544" s="2">
        <f>IF(F544="","",E544*F544)</f>
        <v>8226</v>
      </c>
      <c r="H544" t="str">
        <v>25.562.1203</v>
      </c>
      <c r="I544" t="str">
        <v>İki yollu DN25</v>
      </c>
      <c r="J544" t="str">
        <v>Ad</v>
      </c>
      <c r="K544" s="2">
        <v>4113</v>
      </c>
      <c r="L544" s="2">
        <v>375.39</v>
      </c>
      <c r="M544" s="1">
        <v>25</v>
      </c>
      <c r="N544" t="str">
        <v>mekanik</v>
      </c>
      <c r="O544" t="str">
        <v>25.562.1202 (25)</v>
      </c>
    </row>
    <row r="545" ht="30" customHeight="1" xml:space="preserve">
      <c r="A545" s="1">
        <v>524</v>
      </c>
      <c r="B545" s="1">
        <v>524</v>
      </c>
      <c r="C545" t="str" xml:space="preserve">
        <v xml:space="preserve">Aktif İki Yollu Profesyonel_x000d_
Monitör Hoperlör</v>
      </c>
      <c r="D545" t="str">
        <v>adet</v>
      </c>
      <c r="E545" s="1">
        <v>4</v>
      </c>
      <c r="F545" s="2">
        <v>4113</v>
      </c>
      <c r="G545" s="2">
        <f>IF(F545="","",E545*F545)</f>
        <v>16452</v>
      </c>
      <c r="H545" t="str">
        <v>25.562.1203</v>
      </c>
      <c r="I545" t="str">
        <v>İki yollu DN25</v>
      </c>
      <c r="J545" t="str">
        <v>Ad</v>
      </c>
      <c r="K545" s="2">
        <v>4113</v>
      </c>
      <c r="L545" s="2">
        <v>375.39</v>
      </c>
      <c r="M545" s="1">
        <v>22</v>
      </c>
      <c r="N545" t="str">
        <v>mekanik</v>
      </c>
      <c r="O545" t="str">
        <v>25.562.1202 (22)</v>
      </c>
    </row>
    <row r="546" ht="15" customHeight="1">
      <c r="A546" s="1">
        <v>525</v>
      </c>
      <c r="B546" s="1">
        <v>525</v>
      </c>
      <c r="C546" t="str">
        <v>Aktif DSP Kontrollü Profesyonel</v>
      </c>
      <c r="D546" t="str">
        <v>adet</v>
      </c>
      <c r="E546" s="1">
        <v>1</v>
      </c>
      <c r="G546" t="str">
        <f>IF(F546="","",E546*F546)</f>
        <v/>
      </c>
      <c r="M546" s="1">
        <v>0</v>
      </c>
    </row>
    <row r="547" ht="15" customHeight="1">
      <c r="C547" t="str">
        <v>Subwoofer Hoperlör</v>
      </c>
    </row>
    <row r="548" ht="30" customHeight="1" xml:space="preserve">
      <c r="A548" s="1">
        <v>526</v>
      </c>
      <c r="B548" s="1">
        <v>526</v>
      </c>
      <c r="C548" t="str" xml:space="preserve">
        <v xml:space="preserve">5500 Ansilümen Lazer_x000d_
Projeksiyon Cihazı</v>
      </c>
      <c r="D548" t="str">
        <v>adet</v>
      </c>
      <c r="E548" s="1">
        <v>1</v>
      </c>
      <c r="G548" t="str">
        <f>IF(F548="","",E548*F548)</f>
        <v/>
      </c>
      <c r="M548" s="1">
        <v>0</v>
      </c>
    </row>
    <row r="549" ht="45" customHeight="1" xml:space="preserve">
      <c r="A549" s="1">
        <v>527</v>
      </c>
      <c r="B549" s="1">
        <v>527</v>
      </c>
      <c r="C549" t="str" xml:space="preserve">
        <v xml:space="preserve">Kumaş Döşemeli, Kolçaklı, Zemine Montajlı Konferans_x000d_
Salonu Koltuğu Temini ve Montajı</v>
      </c>
      <c r="D549" t="str">
        <v>adet</v>
      </c>
      <c r="E549" s="1">
        <v>200</v>
      </c>
      <c r="G549" t="str">
        <f>IF(F549="","",E549*F549)</f>
        <v/>
      </c>
      <c r="M549" s="1">
        <v>0</v>
      </c>
    </row>
    <row r="550" ht="60" customHeight="1" xml:space="preserve">
      <c r="A550" s="1">
        <v>528</v>
      </c>
      <c r="B550" s="1">
        <v>528</v>
      </c>
      <c r="C550" t="str" xml:space="preserve">
        <v xml:space="preserve">Alüminyum ve PVC den yapılan her türlü kapı, pencere ve ofis doğramasının sökülmesi (cam_x000d_
dahil)</v>
      </c>
      <c r="D550" t="str">
        <v>metrekare</v>
      </c>
      <c r="E550" s="7">
        <v>1457.421</v>
      </c>
      <c r="F550" s="2">
        <v>246.79</v>
      </c>
      <c r="G550" s="2">
        <f>IF(F550="","",E550*F550)</f>
        <v>359676.93</v>
      </c>
      <c r="H550" t="str">
        <v>15.106.1130</v>
      </c>
      <c r="I550" t="str">
        <v>Alüminyum ve PVC den yapılan her türlü kapı ve pencere doğramasının sökülmesi</v>
      </c>
      <c r="J550" t="str">
        <v/>
      </c>
      <c r="K550" s="2">
        <v>246.79</v>
      </c>
      <c r="M550" s="1">
        <v>80</v>
      </c>
      <c r="N550" t="str">
        <v>inşaat</v>
      </c>
      <c r="O550" t="str">
        <v>15.106.1103 (29)</v>
      </c>
    </row>
    <row r="551" ht="45" customHeight="1" xml:space="preserve">
      <c r="A551" s="1">
        <v>529</v>
      </c>
      <c r="B551" s="1">
        <v>529</v>
      </c>
      <c r="C551" t="str" xml:space="preserve">
        <v xml:space="preserve">30x60x4 cm boyutlarında Patinatolu Yeşil Diyabaz Levha_x000d_
ile döşeme kaplaması yapılması</v>
      </c>
      <c r="D551" t="str">
        <v>metrekare</v>
      </c>
      <c r="E551" s="1">
        <v>800</v>
      </c>
      <c r="F551" s="2">
        <v>2620.6</v>
      </c>
      <c r="G551" s="2">
        <f>IF(F551="","",E551*F551)</f>
        <v>2096480</v>
      </c>
      <c r="H551" t="str">
        <v>15.420.1011</v>
      </c>
      <c r="I551" t="str">
        <v>4 cm kalınlığında andezit levha ile döşeme kaplaması yapılması (30 cm x serbest boy)</v>
      </c>
      <c r="J551" t="str">
        <v/>
      </c>
      <c r="K551" s="2">
        <v>2620.6</v>
      </c>
      <c r="M551" s="1">
        <v>35</v>
      </c>
      <c r="N551" t="str">
        <v>inşaat</v>
      </c>
      <c r="O551" t="str">
        <v>15.420.1012 (32)</v>
      </c>
    </row>
    <row r="552" ht="15" customHeight="1">
      <c r="A552" s="1">
        <v>530</v>
      </c>
      <c r="B552" s="1">
        <v>530</v>
      </c>
      <c r="C552" t="str">
        <v>Toplama SFP Switch</v>
      </c>
      <c r="D552" t="str">
        <v>adet</v>
      </c>
      <c r="E552" s="1">
        <v>1</v>
      </c>
      <c r="G552" t="str">
        <f>IF(F552="","",E552*F552)</f>
        <v/>
      </c>
      <c r="M552" s="1">
        <v>0</v>
      </c>
    </row>
    <row r="553" ht="75" customHeight="1" xml:space="preserve">
      <c r="A553" s="1">
        <v>531</v>
      </c>
      <c r="B553" s="1">
        <v>531</v>
      </c>
      <c r="C553" t="str" xml:space="preserve">
        <v xml:space="preserve">GÜÇLENDİRME TAKVİYE PERDELERİ İÇİN VE DÖŞEME GÜÇLENDİRME İÇİN SABİT YER POMPASI HİZMETİ_x000d_
ALINMASI</v>
      </c>
      <c r="D553" t="str">
        <v>adet</v>
      </c>
      <c r="E553" s="1">
        <v>1</v>
      </c>
      <c r="G553" t="str">
        <f>IF(F553="","",E553*F553)</f>
        <v/>
      </c>
      <c r="M553" s="1">
        <v>0</v>
      </c>
    </row>
    <row r="554" ht="15" customHeight="1">
      <c r="A554" s="1">
        <v>532</v>
      </c>
      <c r="B554" s="1">
        <v>532</v>
      </c>
      <c r="C554" t="str">
        <v>Kamera İzleme Kanal Lisansı</v>
      </c>
      <c r="D554" t="str">
        <v>adet</v>
      </c>
      <c r="E554" s="1">
        <v>50</v>
      </c>
      <c r="G554" t="str">
        <f>IF(F554="","",E554*F554)</f>
        <v/>
      </c>
      <c r="M554" s="1">
        <v>0</v>
      </c>
    </row>
    <row r="555" ht="45" customHeight="1" xml:space="preserve">
      <c r="A555" s="1">
        <v>533</v>
      </c>
      <c r="B555" s="1">
        <v>533</v>
      </c>
      <c r="C555" t="str" xml:space="preserve">
        <v xml:space="preserve">Her kalınlıkta mermer, traverten,_x000d_
terrazo, karo, andezit kaplama,_x000d_
harpuşta ve denizlik sökülmesi</v>
      </c>
      <c r="D555" t="str">
        <v>metrekare</v>
      </c>
      <c r="E555" s="7">
        <v>3773.285</v>
      </c>
      <c r="F555" s="2">
        <v>296.14</v>
      </c>
      <c r="G555" s="2">
        <f>IF(F555="","",E555*F555)</f>
        <v>1117420.62</v>
      </c>
      <c r="H555" t="str">
        <v>15.106.1116</v>
      </c>
      <c r="I555" t="str">
        <v>Her kalınlıkta mermer, traverten, terraza karo ve andezit kaplama sökülmesi</v>
      </c>
      <c r="J555" t="str">
        <v/>
      </c>
      <c r="K555" s="2">
        <v>296.14</v>
      </c>
      <c r="M555" s="1">
        <v>62</v>
      </c>
      <c r="N555" t="str">
        <v>inşaat</v>
      </c>
      <c r="O555" t="str">
        <v>15.106.1123 (44)</v>
      </c>
    </row>
    <row r="556" ht="60" customHeight="1" xml:space="preserve">
      <c r="A556" s="1">
        <v>534</v>
      </c>
      <c r="B556" s="1">
        <v>534</v>
      </c>
      <c r="C556" t="str" xml:space="preserve">
        <v xml:space="preserve">GÜÇLENDİRME TAKVİYE PERDELERİ İÇİN MEVCUT DÖŞEMEDE BETON DÖKÜM_x000d_
DELİKLERİNİN AÇILMASI</v>
      </c>
      <c r="D556" t="str">
        <v>adet</v>
      </c>
      <c r="E556" s="1">
        <v>92</v>
      </c>
      <c r="G556" t="str">
        <f>IF(F556="","",E556*F556)</f>
        <v/>
      </c>
      <c r="M556" s="1">
        <v>0</v>
      </c>
    </row>
    <row r="557" ht="75" customHeight="1" xml:space="preserve">
      <c r="A557" s="1">
        <v>535</v>
      </c>
      <c r="B557" s="1">
        <v>535</v>
      </c>
      <c r="C557" t="str" xml:space="preserve">
        <v xml:space="preserve">Kauçuk bitüm esaslı yüksek köprüleme kapasitesine sahip su yaltıtım malzemesi ile dış perdelerde en az iki kat su_x000d_
yalıtımı yapılması</v>
      </c>
      <c r="D557" t="str">
        <v>metrekare</v>
      </c>
      <c r="E557" s="3">
        <v>479.5</v>
      </c>
      <c r="F557" s="2">
        <v>1042</v>
      </c>
      <c r="G557" s="2">
        <f>IF(F557="","",E557*F557)</f>
        <v>499639</v>
      </c>
      <c r="H557" t="str">
        <v>KTB.91.9011</v>
      </c>
      <c r="I557" t="str">
        <v>Hidrolik Kireç Esaslı, İki Bileşenli, UV Dayanımlı, Esnek Su Yalıtım Malzemesi ile 3 kat halinde toplam 2 mm kalınlıkta su yalıtımı yapılması</v>
      </c>
      <c r="J557" t="str">
        <v>m²</v>
      </c>
      <c r="K557" s="2">
        <v>1042</v>
      </c>
      <c r="M557" s="1">
        <v>21</v>
      </c>
      <c r="N557" t="str">
        <v>kultur-ve-turizm-bakanligi-2026-birim-fiyatlari — GÜNCEL FİYAT YOK</v>
      </c>
      <c r="O557" t="str">
        <v>15.255.1004 (21)</v>
      </c>
    </row>
    <row r="558" ht="45" customHeight="1" xml:space="preserve">
      <c r="A558" s="1">
        <v>536</v>
      </c>
      <c r="B558" s="1">
        <v>536</v>
      </c>
      <c r="C558" t="str" xml:space="preserve">
        <v xml:space="preserve">GÜÇLENDİRME TAKVİYE PERDELERİ İÇİN Q16 L=45 cm_x000d_
ANKRAJ YAPILMASI</v>
      </c>
      <c r="D558" t="str">
        <v>adet</v>
      </c>
      <c r="E558" s="4">
        <v>1653</v>
      </c>
      <c r="G558" t="str">
        <f>IF(F558="","",E558*F558)</f>
        <v/>
      </c>
      <c r="M558" s="1">
        <v>0</v>
      </c>
    </row>
    <row r="559" ht="45" customHeight="1" xml:space="preserve">
      <c r="A559" s="1">
        <v>537</v>
      </c>
      <c r="B559" s="1">
        <v>537</v>
      </c>
      <c r="C559" t="str" xml:space="preserve">
        <v xml:space="preserve">GÜÇLENDİRME TAKVİYE PERDELERİ İÇİN Q20 L=70_x000d_
ANKRAJ YAPILMASI</v>
      </c>
      <c r="D559" t="str">
        <v>adet</v>
      </c>
      <c r="E559" s="1">
        <v>50</v>
      </c>
      <c r="G559" t="str">
        <f>IF(F559="","",E559*F559)</f>
        <v/>
      </c>
      <c r="M559" s="1">
        <v>0</v>
      </c>
    </row>
    <row r="560" ht="75" customHeight="1" xml:space="preserve">
      <c r="A560" s="1">
        <v>538</v>
      </c>
      <c r="B560" s="1">
        <v>538</v>
      </c>
      <c r="C560" t="str" xml:space="preserve">
        <v xml:space="preserve">Çatı ve çatı deresi gibi güneş ışığına maruz kalan alanlarda kauçuk bitüm esaslı, UV dayanımlı, %1000 elastik su_x000d_
yalıtımı yapılması (mlz.+işç.)</v>
      </c>
      <c r="D560" t="str">
        <v>metrekare</v>
      </c>
      <c r="E560" s="1">
        <v>121</v>
      </c>
      <c r="F560" s="2">
        <v>240</v>
      </c>
      <c r="G560" s="2">
        <f>IF(F560="","",E560*F560)</f>
        <v>29040</v>
      </c>
      <c r="H560" t="str">
        <v>10.300.1262</v>
      </c>
      <c r="I560" t="str">
        <v>Siloksan esaslı UV dayanımlı şeffaf yüzey koruyucu</v>
      </c>
      <c r="J560" t="str">
        <v>lt</v>
      </c>
      <c r="K560" s="2">
        <v>240</v>
      </c>
      <c r="M560" s="1">
        <v>21</v>
      </c>
      <c r="N560" t="str">
        <v>kitap — GÜNCEL FİYAT YOK</v>
      </c>
    </row>
    <row r="561" ht="45" customHeight="1" xml:space="preserve">
      <c r="A561" s="1">
        <v>539</v>
      </c>
      <c r="B561" s="1">
        <v>539</v>
      </c>
      <c r="C561" t="str" xml:space="preserve">
        <v xml:space="preserve">GÜÇLENDİRME TAKVİYE PERDELERİ İÇİN Q20 L=85_x000d_
ANKRAJ YAPILMASI</v>
      </c>
      <c r="D561" t="str">
        <v>adet</v>
      </c>
      <c r="E561" s="1">
        <v>378</v>
      </c>
      <c r="G561" t="str">
        <f>IF(F561="","",E561*F561)</f>
        <v/>
      </c>
      <c r="M561" s="1">
        <v>0</v>
      </c>
    </row>
    <row r="562" ht="60" customHeight="1" xml:space="preserve">
      <c r="A562" s="1">
        <v>540</v>
      </c>
      <c r="B562" s="1">
        <v>540</v>
      </c>
      <c r="C562" t="str" xml:space="preserve">
        <v xml:space="preserve">Teras, düz çatı gibi alanlarda poliürea esaslı, iki bileşenli ve_x000d_
sprey makinaları ile su yalıtımı yapılması (mlz.+içş.)</v>
      </c>
      <c r="D562" t="str">
        <v>metrekare</v>
      </c>
      <c r="E562" s="1">
        <v>600</v>
      </c>
      <c r="F562" s="2">
        <v>1716</v>
      </c>
      <c r="G562" s="2">
        <f>IF(F562="","",E562*F562)</f>
        <v>1029600</v>
      </c>
      <c r="H562" t="str">
        <v>15.270.1101</v>
      </c>
      <c r="I562" t="str">
        <v>Hibrit Poliürea bazlı iki bileşenli su yalıtım malzemesi ile 2 mm kalınlıkta su yalıtımı yapılması</v>
      </c>
      <c r="J562" t="str">
        <v/>
      </c>
      <c r="K562" s="2">
        <v>1716</v>
      </c>
      <c r="M562" s="1">
        <v>29</v>
      </c>
      <c r="N562" t="str">
        <v>inşaat</v>
      </c>
      <c r="O562" t="str">
        <v>15.270.1111 (28)</v>
      </c>
    </row>
    <row r="563" ht="30" customHeight="1">
      <c r="A563" s="1">
        <v>541</v>
      </c>
      <c r="B563" s="1">
        <v>541</v>
      </c>
      <c r="C563" t="str">
        <v>GÜÇLENDİRME TAKVİYE PERDELERİ İÇİN Q20 L=90</v>
      </c>
      <c r="D563" t="str">
        <v>adet</v>
      </c>
      <c r="E563" s="1">
        <v>90</v>
      </c>
      <c r="G563" t="str">
        <f>IF(F563="","",E563*F563)</f>
        <v/>
      </c>
      <c r="M563" s="1">
        <v>0</v>
      </c>
    </row>
    <row r="564" ht="15" customHeight="1">
      <c r="C564" t="str">
        <v>ANKRAJ YAPILMASI</v>
      </c>
    </row>
    <row r="565" ht="45" customHeight="1" xml:space="preserve">
      <c r="A565" s="1">
        <v>542</v>
      </c>
      <c r="B565" s="1">
        <v>542</v>
      </c>
      <c r="C565" t="str" xml:space="preserve">
        <v xml:space="preserve">Beton bünyesinde kristaller_x000d_
oluşturarak yapısal su yalıtımı sağlayan sıvı kristalize beton katkısı</v>
      </c>
      <c r="D565" t="str">
        <v>kilogram</v>
      </c>
      <c r="E565" s="4">
        <v>3366</v>
      </c>
      <c r="F565" s="2">
        <v>280</v>
      </c>
      <c r="G565" s="2">
        <f>IF(F565="","",E565*F565)</f>
        <v>942480</v>
      </c>
      <c r="H565" t="str">
        <v>10.300.2040</v>
      </c>
      <c r="I565" t="str">
        <v>Kristalize su geçirimsizlik katkısı (Sıvı)</v>
      </c>
      <c r="J565" t="str">
        <v>Kg</v>
      </c>
      <c r="K565" s="2">
        <v>280</v>
      </c>
      <c r="M565" s="1">
        <v>27</v>
      </c>
      <c r="N565" t="str">
        <v>kitap — GÜNCEL FİYAT YOK</v>
      </c>
      <c r="O565" t="str">
        <v>10.300.2141 (23)</v>
      </c>
    </row>
    <row r="566" ht="45" customHeight="1" xml:space="preserve">
      <c r="A566" s="1">
        <v>543</v>
      </c>
      <c r="B566" s="1">
        <v>543</v>
      </c>
      <c r="C566" t="str" xml:space="preserve">
        <v xml:space="preserve">GÜÇLENDİRME TAKVİYE PERDELERİ İÇİN Q20 L=140_x000d_
ANKRAJ YAPILMASI</v>
      </c>
      <c r="D566" t="str">
        <v>adet</v>
      </c>
      <c r="E566" s="1">
        <v>143</v>
      </c>
      <c r="G566" t="str">
        <f>IF(F566="","",E566*F566)</f>
        <v/>
      </c>
      <c r="M566" s="1">
        <v>0</v>
      </c>
    </row>
    <row r="567" ht="45" customHeight="1" xml:space="preserve">
      <c r="A567" s="1">
        <v>544</v>
      </c>
      <c r="B567" s="1">
        <v>544</v>
      </c>
      <c r="C567" t="str" xml:space="preserve">
        <v xml:space="preserve">Menfezli alüminyum kapı yaılması ( malz+işçilik+montaj+aksessuarlar_x000d_
kapı kolu , menteşe vs. dahil )</v>
      </c>
      <c r="D567" t="str">
        <v>metrekare</v>
      </c>
      <c r="E567" s="3">
        <v>12.6</v>
      </c>
      <c r="G567" t="str">
        <f>IF(F567="","",E567*F567)</f>
        <v/>
      </c>
      <c r="M567" s="1">
        <v>0</v>
      </c>
    </row>
    <row r="568" ht="45" customHeight="1" xml:space="preserve">
      <c r="A568" s="1">
        <v>545</v>
      </c>
      <c r="B568" s="1">
        <v>545</v>
      </c>
      <c r="C568" t="str" xml:space="preserve">
        <v xml:space="preserve">GÜÇLENDİRME TAKVİYE PERDELERİ İÇİN Q20 L=150_x000d_
ANKRAJ YAPILMASI</v>
      </c>
      <c r="D568" t="str">
        <v>adet</v>
      </c>
      <c r="E568" s="1">
        <v>53</v>
      </c>
      <c r="G568" t="str">
        <f>IF(F568="","",E568*F568)</f>
        <v/>
      </c>
      <c r="M568" s="1">
        <v>0</v>
      </c>
    </row>
    <row r="569" ht="60" customHeight="1" xml:space="preserve">
      <c r="A569" s="1">
        <v>546</v>
      </c>
      <c r="B569" s="1">
        <v>546</v>
      </c>
      <c r="C569" t="str" xml:space="preserve">
        <v xml:space="preserve">210X240 ebatlarında 4+4 lamine camlı alüminyum fotoselli kapı yapılması (çift yana_x000d_
açılır)(mlz+işçilik)</v>
      </c>
      <c r="D569" t="str">
        <v>adet</v>
      </c>
      <c r="E569" s="1">
        <v>3</v>
      </c>
      <c r="G569" t="str">
        <f>IF(F569="","",E569*F569)</f>
        <v/>
      </c>
      <c r="M569" s="1">
        <v>0</v>
      </c>
    </row>
    <row r="570" ht="45" customHeight="1" xml:space="preserve">
      <c r="A570" s="1">
        <v>547</v>
      </c>
      <c r="B570" s="1">
        <v>547</v>
      </c>
      <c r="C570" t="str" xml:space="preserve">
        <v xml:space="preserve">GÜÇLENDİRME TAKVİYE PERDELERİ İÇİN Q20 L=180_x000d_
ANKRAJ YAPILMASI</v>
      </c>
      <c r="D570" t="str">
        <v>adet</v>
      </c>
      <c r="E570" s="1">
        <v>364</v>
      </c>
      <c r="G570" t="str">
        <f>IF(F570="","",E570*F570)</f>
        <v/>
      </c>
      <c r="M570" s="1">
        <v>0</v>
      </c>
    </row>
    <row r="571" ht="60" customHeight="1" xml:space="preserve">
      <c r="A571" s="1">
        <v>548</v>
      </c>
      <c r="B571" s="1">
        <v>548</v>
      </c>
      <c r="C571" t="str" xml:space="preserve">
        <v xml:space="preserve">120X240 ebatlarında 4+4mm Lamine camlı alüminyum fotoselli kapı yapılması( tek yana_x000d_
açılır) ( mlz+işçilik)</v>
      </c>
      <c r="D571" t="str">
        <v>adet</v>
      </c>
      <c r="E571" s="1">
        <v>1</v>
      </c>
      <c r="G571" t="str">
        <f>IF(F571="","",E571*F571)</f>
        <v/>
      </c>
      <c r="M571" s="1">
        <v>0</v>
      </c>
    </row>
    <row r="572" ht="30" customHeight="1" xml:space="preserve">
      <c r="A572" s="1">
        <v>549</v>
      </c>
      <c r="B572" s="1">
        <v>549</v>
      </c>
      <c r="C572" t="str" xml:space="preserve">
        <v xml:space="preserve">YENİ DÖŞEMELER İÇİN Q20_x000d_
L=100 ANKRAJ YAPILMASI</v>
      </c>
      <c r="D572" t="str">
        <v>adet</v>
      </c>
      <c r="E572" s="1">
        <v>91</v>
      </c>
      <c r="G572" t="str">
        <f>IF(F572="","",E572*F572)</f>
        <v/>
      </c>
      <c r="M572" s="1">
        <v>0</v>
      </c>
    </row>
    <row r="573" ht="45" customHeight="1">
      <c r="A573" s="1">
        <v>550</v>
      </c>
      <c r="B573" s="1">
        <v>550</v>
      </c>
      <c r="C573" t="str">
        <v>Hızlı Geçis Sistemi Turnike Üstü Ekranlı TC Kimlik QR Okuyucu Tablet</v>
      </c>
      <c r="D573" t="str">
        <v>adet</v>
      </c>
      <c r="E573" s="1">
        <v>10</v>
      </c>
      <c r="F573" s="2">
        <v>901.61</v>
      </c>
      <c r="G573" s="2">
        <f>IF(F573="","",E573*F573)</f>
        <v>9016.1</v>
      </c>
      <c r="H573" t="str">
        <v>35.800.3325</v>
      </c>
      <c r="I573" t="str">
        <v>Uzaktan kumanda</v>
      </c>
      <c r="J573" t="str">
        <v>Adet</v>
      </c>
      <c r="K573" s="2">
        <v>901.61</v>
      </c>
      <c r="L573" s="2">
        <v>0</v>
      </c>
      <c r="M573" s="1">
        <v>21</v>
      </c>
      <c r="N573" t="str">
        <v>elektrik</v>
      </c>
    </row>
    <row r="574" ht="45" customHeight="1" xml:space="preserve">
      <c r="A574" s="1">
        <v>551</v>
      </c>
      <c r="B574" s="1">
        <v>551</v>
      </c>
      <c r="C574" t="str" xml:space="preserve">
        <v xml:space="preserve">Web Tabanlı Online Sandalye- Masa Rezervasyon Sistemi_x000d_
Yönetim Yazılımı 2 Yıllık Lisans</v>
      </c>
      <c r="D574" t="str">
        <v>adet</v>
      </c>
      <c r="E574" s="1">
        <v>1</v>
      </c>
      <c r="G574" t="str">
        <f>IF(F574="","",E574*F574)</f>
        <v/>
      </c>
      <c r="M574" s="1">
        <v>0</v>
      </c>
    </row>
    <row r="575" ht="30" customHeight="1">
      <c r="A575" s="1">
        <v>552</v>
      </c>
      <c r="B575" s="1">
        <v>552</v>
      </c>
      <c r="C575" t="str">
        <v>Hızlı Geçiş Turnike Sistemi Cam Kanatlı Çift Taraflı</v>
      </c>
      <c r="D575" t="str">
        <v>adet</v>
      </c>
      <c r="E575" s="1">
        <v>3</v>
      </c>
      <c r="F575" s="2">
        <v>2510.55</v>
      </c>
      <c r="G575" s="2">
        <f>IF(F575="","",E575*F575)</f>
        <v>7531.65</v>
      </c>
      <c r="H575" t="str">
        <v>35.800.3330</v>
      </c>
      <c r="I575" t="str">
        <v>Kanat logo işleme</v>
      </c>
      <c r="J575" t="str">
        <v>Adet</v>
      </c>
      <c r="K575" s="2">
        <v>2510.55</v>
      </c>
      <c r="L575" s="2">
        <v>0</v>
      </c>
      <c r="M575" s="1">
        <v>50</v>
      </c>
      <c r="N575" t="str">
        <v>elektrik</v>
      </c>
      <c r="O575" t="str">
        <v>35.800.3325 (50)</v>
      </c>
    </row>
    <row r="576" ht="30" customHeight="1">
      <c r="A576" s="1">
        <v>553</v>
      </c>
      <c r="B576" s="1">
        <v>553</v>
      </c>
      <c r="C576" t="str">
        <v>Hızlı Geçiş Turnike Sistemi Cam Kanatlı Tek Taraflı</v>
      </c>
      <c r="D576" t="str">
        <v>adet</v>
      </c>
      <c r="E576" s="1">
        <v>4</v>
      </c>
      <c r="F576" s="2">
        <v>2510.55</v>
      </c>
      <c r="G576" s="2">
        <f>IF(F576="","",E576*F576)</f>
        <v>10042.2</v>
      </c>
      <c r="H576" t="str">
        <v>35.800.3330</v>
      </c>
      <c r="I576" t="str">
        <v>Kanat logo işleme</v>
      </c>
      <c r="J576" t="str">
        <v>Adet</v>
      </c>
      <c r="K576" s="2">
        <v>2510.55</v>
      </c>
      <c r="L576" s="2">
        <v>0</v>
      </c>
      <c r="M576" s="1">
        <v>50</v>
      </c>
      <c r="N576" t="str">
        <v>elektrik</v>
      </c>
      <c r="O576" t="str">
        <v>35.800.3325 (50)</v>
      </c>
    </row>
    <row r="577" ht="60" customHeight="1" xml:space="preserve">
      <c r="A577" s="1">
        <v>554</v>
      </c>
      <c r="B577" s="1">
        <v>554</v>
      </c>
      <c r="C577" t="str" xml:space="preserve">
        <v xml:space="preserve">Hızlı Geçiş Turnike Sistemi - Web Tabanlı Online Sandalye Masa Rezervasyon Sistemi_x000d_
Kurulum Devreye Alma Eğitim</v>
      </c>
      <c r="D577" t="str">
        <v>adet</v>
      </c>
      <c r="E577" s="1">
        <v>1</v>
      </c>
      <c r="F577" s="2">
        <v>901.61</v>
      </c>
      <c r="G577" s="2">
        <f>IF(F577="","",E577*F577)</f>
        <v>901.61</v>
      </c>
      <c r="H577" t="str">
        <v>35.800.3325</v>
      </c>
      <c r="I577" t="str">
        <v>Uzaktan kumanda</v>
      </c>
      <c r="J577" t="str">
        <v>Adet</v>
      </c>
      <c r="K577" s="2">
        <v>901.61</v>
      </c>
      <c r="L577" s="2">
        <v>0</v>
      </c>
      <c r="M577" s="1">
        <v>36</v>
      </c>
      <c r="N577" t="str">
        <v>elektrik</v>
      </c>
      <c r="O577" t="str">
        <v>35.800.3330 (33)</v>
      </c>
    </row>
    <row r="578" ht="45" customHeight="1" xml:space="preserve">
      <c r="A578" s="1">
        <v>555</v>
      </c>
      <c r="B578" s="1">
        <v>555</v>
      </c>
      <c r="C578" t="str" xml:space="preserve">
        <v xml:space="preserve">Rezervasyon Ayaklı Kiosk_x000d_
Sistemi ve Online Rezervasyon_x000d_
Yazılımı</v>
      </c>
      <c r="D578" t="str">
        <v>adet</v>
      </c>
      <c r="E578" s="1">
        <v>1</v>
      </c>
      <c r="G578" t="str">
        <f>IF(F578="","",E578*F578)</f>
        <v/>
      </c>
      <c r="M578" s="1">
        <v>0</v>
      </c>
    </row>
    <row r="579" ht="15" customHeight="1">
      <c r="A579" s="1">
        <v>556</v>
      </c>
      <c r="B579" s="1">
        <v>556</v>
      </c>
      <c r="C579" t="str">
        <v>Sunucu Bilgisayar</v>
      </c>
      <c r="D579" t="str">
        <v>adet</v>
      </c>
      <c r="E579" s="1">
        <v>1</v>
      </c>
      <c r="G579" t="str">
        <f>IF(F579="","",E579*F579)</f>
        <v/>
      </c>
      <c r="M579" s="1">
        <v>0</v>
      </c>
    </row>
    <row r="580" ht="75" customHeight="1" xml:space="preserve">
      <c r="A580" s="1">
        <v>557</v>
      </c>
      <c r="B580" s="1">
        <v>557</v>
      </c>
      <c r="C580" t="str" xml:space="preserve">
        <v xml:space="preserve">Gemici profilli cam cama birleşimli korkuluk yapılması( 8+8 lamine temper camlı alt bazalı,yan kapaklı , cam üzeri_x000d_
ince tutunma barlı )( mlz+işçilik)</v>
      </c>
      <c r="D580" t="str">
        <v>metre</v>
      </c>
      <c r="E580" s="3">
        <v>140.3</v>
      </c>
      <c r="G580" t="str">
        <f>IF(F580="","",E580*F580)</f>
        <v/>
      </c>
      <c r="M580" s="1">
        <v>0</v>
      </c>
    </row>
    <row r="581" ht="30" customHeight="1">
      <c r="A581" s="1">
        <v>558</v>
      </c>
      <c r="B581" s="1">
        <v>558</v>
      </c>
      <c r="C581" t="str">
        <v>GÜÇLENDİRME KOLON MANTOLAMALARI İÇİN Q16</v>
      </c>
      <c r="D581" t="str">
        <v>adet</v>
      </c>
      <c r="E581" s="4">
        <v>2141</v>
      </c>
      <c r="G581" t="str">
        <f>IF(F581="","",E581*F581)</f>
        <v/>
      </c>
      <c r="M581" s="1">
        <v>0</v>
      </c>
    </row>
    <row r="582" ht="15" customHeight="1">
      <c r="C582" t="str">
        <v>L=37 ANKRAJ YAPILMASI</v>
      </c>
    </row>
    <row r="583" ht="45" customHeight="1" xml:space="preserve">
      <c r="A583" s="1">
        <v>559</v>
      </c>
      <c r="B583" s="1">
        <v>559</v>
      </c>
      <c r="C583" t="str" xml:space="preserve">
        <v xml:space="preserve">50mm çapında her renkte_x000d_
alüminyum tutunma barı yapılması ( mlz+ işçilik )</v>
      </c>
      <c r="D583" t="str">
        <v>metre</v>
      </c>
      <c r="E583" s="1">
        <v>59</v>
      </c>
      <c r="G583" t="str">
        <f>IF(F583="","",E583*F583)</f>
        <v/>
      </c>
      <c r="M583" s="1">
        <v>0</v>
      </c>
    </row>
    <row r="584" ht="60" customHeight="1" xml:space="preserve">
      <c r="A584" s="1">
        <v>560</v>
      </c>
      <c r="B584" s="1">
        <v>560</v>
      </c>
      <c r="C584" t="str" xml:space="preserve">
        <v xml:space="preserve">EK BİNA GÜÇLENDİRME KOLON MANTOLAMALARI İÇİN Q20 L=180 ANKRAJ_x000d_
YAPILMASI</v>
      </c>
      <c r="D584" t="str">
        <v>adet</v>
      </c>
      <c r="E584" s="1">
        <v>248</v>
      </c>
      <c r="G584" t="str">
        <f>IF(F584="","",E584*F584)</f>
        <v/>
      </c>
      <c r="M584" s="1">
        <v>0</v>
      </c>
    </row>
    <row r="585" ht="60" customHeight="1" xml:space="preserve">
      <c r="A585" s="1">
        <v>561</v>
      </c>
      <c r="B585" s="1">
        <v>561</v>
      </c>
      <c r="C585" t="str" xml:space="preserve">
        <v xml:space="preserve">Her renkte 30x80 üst küpeşteli_x000d_
,25x50 dikili,1414 çubuklu ızgara_x000d_
sistem alüminyum korkuluk_x000d_
yapılması , (mlz+işçilik )</v>
      </c>
      <c r="D585" t="str">
        <v>metre</v>
      </c>
      <c r="E585" s="3">
        <v>36.7</v>
      </c>
      <c r="G585" t="str">
        <f>IF(F585="","",E585*F585)</f>
        <v/>
      </c>
      <c r="M585" s="1">
        <v>0</v>
      </c>
    </row>
    <row r="586" ht="45" customHeight="1" xml:space="preserve">
      <c r="A586" s="1">
        <v>562</v>
      </c>
      <c r="B586" s="1">
        <v>562</v>
      </c>
      <c r="C586" t="str" xml:space="preserve">
        <v xml:space="preserve">YENİ RADYE TEMELLER İÇİN Q20 L=100 ANKRAJ_x000d_
YAPILMASI</v>
      </c>
      <c r="D586" t="str">
        <v>adet</v>
      </c>
      <c r="E586" s="4">
        <v>2120</v>
      </c>
      <c r="G586" t="str">
        <f>IF(F586="","",E586*F586)</f>
        <v/>
      </c>
      <c r="M586" s="1">
        <v>0</v>
      </c>
    </row>
    <row r="587" ht="45" customHeight="1">
      <c r="A587" s="1">
        <v>563</v>
      </c>
      <c r="B587" s="1">
        <v>563</v>
      </c>
      <c r="C587" t="str">
        <v>CFRP GÜÇLENDİRME İÇİN YÜZEY HAZIRLIĞI YAPILMASI</v>
      </c>
      <c r="D587" t="str">
        <v>metrekare</v>
      </c>
      <c r="E587" s="1">
        <v>464</v>
      </c>
      <c r="F587" s="2">
        <v>138.69</v>
      </c>
      <c r="G587" s="2">
        <f>IF(F587="","",E587*F587)</f>
        <v>64352.16</v>
      </c>
      <c r="H587" t="str">
        <v>04.KTB.0117</v>
      </c>
      <c r="I587" t="str">
        <v>Cam Güçlendirme Filesi</v>
      </c>
      <c r="J587" t="str">
        <v>Kg/m2</v>
      </c>
      <c r="K587" s="2">
        <v>138.69</v>
      </c>
      <c r="M587" s="1">
        <v>20</v>
      </c>
      <c r="N587" t="str">
        <v>kultur-ve-turizm-bakanligi-2026-birim-fiyatlari — GÜNCEL FİYAT YOK</v>
      </c>
    </row>
    <row r="588" ht="60" customHeight="1" xml:space="preserve">
      <c r="A588" s="1">
        <v>564</v>
      </c>
      <c r="B588" s="1">
        <v>564</v>
      </c>
      <c r="C588" t="str" xml:space="preserve">
        <v xml:space="preserve">50X50 cm ölçülerinde Lüks Vinil Karo (LVT) zemin kaplama yapılması ( mlz+işçilik) Nakliye_x000d_
dahil</v>
      </c>
      <c r="D588" t="str">
        <v>metrekare</v>
      </c>
      <c r="E588" s="3">
        <v>266.1</v>
      </c>
      <c r="G588" t="str">
        <f>IF(F588="","",E588*F588)</f>
        <v/>
      </c>
      <c r="M588" s="1">
        <v>0</v>
      </c>
    </row>
    <row r="589" ht="30" customHeight="1" xml:space="preserve">
      <c r="A589" s="1">
        <v>565</v>
      </c>
      <c r="B589" s="1">
        <v>565</v>
      </c>
      <c r="C589" t="str" xml:space="preserve">
        <v xml:space="preserve">CFRP GÜÇLENDİRME_x000d_
YAPILMASI</v>
      </c>
      <c r="D589" t="str">
        <v>metrekare</v>
      </c>
      <c r="E589" s="1">
        <v>812</v>
      </c>
      <c r="F589" s="2">
        <v>138.69</v>
      </c>
      <c r="G589" s="2">
        <f>IF(F589="","",E589*F589)</f>
        <v>112616.28</v>
      </c>
      <c r="H589" t="str">
        <v>04.KTB.0117</v>
      </c>
      <c r="I589" t="str">
        <v>Cam Güçlendirme Filesi</v>
      </c>
      <c r="J589" t="str">
        <v>Kg/m2</v>
      </c>
      <c r="K589" s="2">
        <v>138.69</v>
      </c>
      <c r="M589" s="1">
        <v>28</v>
      </c>
      <c r="N589" t="str">
        <v>kultur-ve-turizm-bakanligi-2026-birim-fiyatlari — GÜNCEL FİYAT YOK</v>
      </c>
      <c r="O589" t="str">
        <v>04.KTB.0115 (27)</v>
      </c>
    </row>
    <row r="590" ht="135" customHeight="1" xml:space="preserve">
      <c r="A590" s="1">
        <v>566</v>
      </c>
      <c r="B590" s="1">
        <v>566</v>
      </c>
      <c r="C590" t="str" xml:space="preserve">
        <v xml:space="preserve">Alüminyum 40x20mm çerçeveli her renkte tekstüre 10 mm temperli cam ile cam cama birleşimli iç mekan bölme sistemi yapılması (40x20mm çerçeveli her renkte tekstüre 10 mm temperli cam ile cam kapı sistemi ve aksessuarları dahil) (_x000d_
mlz+işçilik )</v>
      </c>
      <c r="D590" t="str">
        <v>metrekare</v>
      </c>
      <c r="E590" s="6">
        <v>406.08</v>
      </c>
      <c r="F590" s="2">
        <v>1120</v>
      </c>
      <c r="G590" s="2">
        <f>IF(F590="","",E590*F590)</f>
        <v>454809.6</v>
      </c>
      <c r="H590" t="str">
        <v>04.V61/07</v>
      </c>
      <c r="I590" t="str">
        <v>10 mm kalınlıkta temperli cam İşbaşında</v>
      </c>
      <c r="J590" t="str">
        <v>M²</v>
      </c>
      <c r="K590" s="2">
        <v>1120</v>
      </c>
      <c r="M590" s="1">
        <v>23</v>
      </c>
      <c r="N590" t="str">
        <v>kultur-ve-turizm-bakanligi-2026-birim-fiyatlari — GÜNCEL FİYAT YOK</v>
      </c>
    </row>
    <row r="591" ht="45" customHeight="1">
      <c r="A591" s="1">
        <v>567</v>
      </c>
      <c r="B591" s="1">
        <v>567</v>
      </c>
      <c r="C591" t="str">
        <v>GÜÇLENDİRME İÇİN SIVA SÖKÜMÜ VE YÜZEY PÜRÜZLENDİRİLMESİ</v>
      </c>
      <c r="D591" t="str">
        <v>metrekare</v>
      </c>
      <c r="E591" s="4">
        <v>1015</v>
      </c>
      <c r="G591" t="str">
        <f>IF(F591="","",E591*F591)</f>
        <v/>
      </c>
      <c r="M591" s="1">
        <v>0</v>
      </c>
    </row>
    <row r="592" ht="45" customHeight="1" xml:space="preserve">
      <c r="A592" s="1">
        <v>568</v>
      </c>
      <c r="B592" s="1">
        <v>568</v>
      </c>
      <c r="C592" t="str" xml:space="preserve">
        <v xml:space="preserve">Esnek Seramik Cephe Kaplama_x000d_
malzemesi ile dış cephe kaplama yapılması malzeme temini</v>
      </c>
      <c r="D592" t="str">
        <v>metrekare</v>
      </c>
      <c r="E592" s="7">
        <v>2077.895</v>
      </c>
      <c r="F592" s="2">
        <v>4903.05</v>
      </c>
      <c r="G592" s="2">
        <f>IF(F592="","",E592*F592)</f>
        <v>10188023.08</v>
      </c>
      <c r="H592" t="str">
        <v>KTB.51.2002</v>
      </c>
      <c r="I592" t="str">
        <v>Traverten Malzeme İle Mekanik Cephe Kaplaması Yapılması</v>
      </c>
      <c r="J592" t="str">
        <v>m²</v>
      </c>
      <c r="K592" s="2">
        <v>4903.05</v>
      </c>
      <c r="M592" s="1">
        <v>27</v>
      </c>
      <c r="N592" t="str">
        <v>kultur-ve-turizm-bakanligi-2026-birim-fiyatlari — GÜNCEL FİYAT YOK</v>
      </c>
      <c r="O592" t="str">
        <v>KTB.51.4003 (25)</v>
      </c>
    </row>
    <row r="593" ht="45" customHeight="1" xml:space="preserve">
      <c r="A593" s="1">
        <v>569</v>
      </c>
      <c r="B593" s="1">
        <v>569</v>
      </c>
      <c r="C593" t="str" xml:space="preserve">
        <v xml:space="preserve">GÜÇLENDİRME İÇİN C30/37_x000d_
Dmax BETON TEMİNİ VE DÖKÜLMESİ</v>
      </c>
      <c r="D593" t="str">
        <v>metreküp</v>
      </c>
      <c r="E593" s="3">
        <v>165.2</v>
      </c>
      <c r="G593" t="str">
        <f>IF(F593="","",E593*F593)</f>
        <v/>
      </c>
      <c r="M593" s="1">
        <v>0</v>
      </c>
    </row>
    <row r="594" ht="90" customHeight="1" xml:space="preserve">
      <c r="A594" s="1">
        <v>570</v>
      </c>
      <c r="B594" s="1">
        <v>570</v>
      </c>
      <c r="C594" t="str" xml:space="preserve">
        <v xml:space="preserve">Esnek Seramik Cephe Kaplama malzemesi ile dış cephe kaplama yapılması işçiliği( Mekanik Montaj Cephe Kaplama-Gizli Klipsli Sistem - bağlantı_x000d_
elemanları dahil )</v>
      </c>
      <c r="D594" t="str">
        <v>metrekare</v>
      </c>
      <c r="E594" s="7">
        <v>2077.895</v>
      </c>
      <c r="F594" s="2">
        <v>2548.04</v>
      </c>
      <c r="G594" s="2">
        <f>IF(F594="","",E594*F594)</f>
        <v>5294559.58</v>
      </c>
      <c r="H594" t="str">
        <v>KTB.11.1004</v>
      </c>
      <c r="I594" t="str">
        <v>Çelik Flanşlı Özel Bağlantı Elemanları ile Her Yükseklikte Dış Cephe Çalışma İskelesi Kurulması</v>
      </c>
      <c r="J594" t="str">
        <v>m²</v>
      </c>
      <c r="K594" s="2">
        <v>2548.04</v>
      </c>
      <c r="M594" s="1">
        <v>24</v>
      </c>
      <c r="N594" t="str">
        <v>kultur-ve-turizm-bakanligi-2026-birim-fiyatlari — GÜNCEL FİYAT YOK</v>
      </c>
      <c r="O594" t="str">
        <v>KTB.51.2003 (23)</v>
      </c>
    </row>
    <row r="595" ht="60" customHeight="1" xml:space="preserve">
      <c r="A595" s="1">
        <v>571</v>
      </c>
      <c r="B595" s="1">
        <v>571</v>
      </c>
      <c r="C595" t="str" xml:space="preserve">
        <v xml:space="preserve">Proje ve detaylarına uygun olarak 18 mm mdf üzerine 304 kalite 1.5 mm kalınlığında paslanmaz satine_x000d_
sac ile duvar kaplaması yapılması</v>
      </c>
      <c r="D595" t="str">
        <v>metrekare</v>
      </c>
      <c r="E595" s="6">
        <v>3.55</v>
      </c>
      <c r="F595" s="2">
        <v>19405.71</v>
      </c>
      <c r="G595" s="2">
        <f>IF(F595="","",E595*F595)</f>
        <v>68890.27</v>
      </c>
      <c r="H595" t="str">
        <v>KTB.61.1030</v>
      </c>
      <c r="I595" t="str">
        <v>18 mm MDF Üzerine Ultraviole (UV) Baskı Yapılması ve Yerine Montajı</v>
      </c>
      <c r="J595" t="str">
        <v>m²</v>
      </c>
      <c r="K595" s="2">
        <v>19405.71</v>
      </c>
      <c r="M595" s="1">
        <v>25</v>
      </c>
      <c r="N595" t="str">
        <v>kultur-ve-turizm-bakanligi-2026-birim-fiyatlari — GÜNCEL FİYAT YOK</v>
      </c>
      <c r="O595" t="str">
        <v>04.KTB.0034 (21)</v>
      </c>
    </row>
    <row r="596" ht="15" customHeight="1">
      <c r="A596" s="1">
        <v>572</v>
      </c>
      <c r="B596" s="1">
        <v>572</v>
      </c>
      <c r="C596" t="str">
        <v>Alüminyum dolu kapı yapılması (</v>
      </c>
      <c r="D596" t="str">
        <v>metrekare</v>
      </c>
      <c r="E596" s="1">
        <v>21</v>
      </c>
      <c r="F596" s="2">
        <v>395</v>
      </c>
      <c r="G596" s="2">
        <f>IF(F596="","",E596*F596)</f>
        <v>8295</v>
      </c>
      <c r="H596" t="str">
        <v>V.0340/A01</v>
      </c>
      <c r="I596" t="str">
        <v>Ahşap, Alüminyum, PVC Kapı ve Pencere Sökülmesi</v>
      </c>
      <c r="J596" t="str">
        <v>M²</v>
      </c>
      <c r="K596" s="2">
        <v>395</v>
      </c>
      <c r="M596" s="1">
        <v>26</v>
      </c>
      <c r="N596" t="str">
        <v>kultur-ve-turizm-bakanligi-2026-birim-fiyatlari — GÜNCEL FİYAT YOK</v>
      </c>
      <c r="O596" t="str">
        <v>V.0340/A02 (21)</v>
      </c>
    </row>
    <row r="597" ht="30" customHeight="1">
      <c r="C597" t="str">
        <v>mlz+işçilik+montaj+ aksessuarlar kapı kolu, menteşe vs. dahil)</v>
      </c>
    </row>
    <row r="598" ht="90" customHeight="1" xml:space="preserve">
      <c r="A598" s="1">
        <v>573</v>
      </c>
      <c r="B598" s="1">
        <v>573</v>
      </c>
      <c r="C598" t="str" xml:space="preserve">
        <v xml:space="preserve">90 x 210 ölçülerinde Laminat kaplamalı iki yüzü odun lifinden yapılmış levhalarla ( mdf) presli kapı yapılması (Kasa,kanat,pervaz, aksessuarlar_x000d_
dahil)</v>
      </c>
      <c r="D598" t="str">
        <v>adet</v>
      </c>
      <c r="E598" s="1">
        <v>26</v>
      </c>
      <c r="F598" s="2">
        <v>3605.88</v>
      </c>
      <c r="G598" s="2">
        <f>IF(F598="","",E598*F598)</f>
        <v>93752.88</v>
      </c>
      <c r="H598" t="str">
        <v>15.510.1103</v>
      </c>
      <c r="I598" t="str">
        <v>Laminat kaplamalı, iki yüzü odun lifinden yapılmış levhalarla (mdf) presli, kraft dolgulu iç kapı kanadı yapılması, yerine takılması</v>
      </c>
      <c r="J598" t="str">
        <v/>
      </c>
      <c r="K598" s="2">
        <v>3605.88</v>
      </c>
      <c r="M598" s="1">
        <v>59</v>
      </c>
      <c r="N598" t="str">
        <v>inşaat</v>
      </c>
      <c r="O598" t="str">
        <v>15.510.1104 (55)</v>
      </c>
    </row>
    <row r="599" ht="90" customHeight="1" xml:space="preserve">
      <c r="A599" s="1">
        <v>574</v>
      </c>
      <c r="B599" s="1">
        <v>574</v>
      </c>
      <c r="C599" t="str" xml:space="preserve">
        <v xml:space="preserve">80 x 210 ölçülerinde Laminat kaplamalı iki yüzü odun lifinden yapılmış levhalarla ( mdf) presli kapı yapılması_x000d_
(Kasa,kanat,pervaz, aksessuarlar dahil)</v>
      </c>
      <c r="D599" t="str">
        <v>adet</v>
      </c>
      <c r="E599" s="1">
        <v>8</v>
      </c>
      <c r="F599" s="2">
        <v>3605.88</v>
      </c>
      <c r="G599" s="2">
        <f>IF(F599="","",E599*F599)</f>
        <v>28847.04</v>
      </c>
      <c r="H599" t="str">
        <v>15.510.1103</v>
      </c>
      <c r="I599" t="str">
        <v>Laminat kaplamalı, iki yüzü odun lifinden yapılmış levhalarla (mdf) presli, kraft dolgulu iç kapı kanadı yapılması, yerine takılması</v>
      </c>
      <c r="J599" t="str">
        <v/>
      </c>
      <c r="K599" s="2">
        <v>3605.88</v>
      </c>
      <c r="M599" s="1">
        <v>59</v>
      </c>
      <c r="N599" t="str">
        <v>inşaat</v>
      </c>
      <c r="O599" t="str">
        <v>15.510.1104 (55)</v>
      </c>
    </row>
    <row r="600" ht="90" customHeight="1" xml:space="preserve">
      <c r="A600" s="1">
        <v>575</v>
      </c>
      <c r="B600" s="1">
        <v>575</v>
      </c>
      <c r="C600" t="str" xml:space="preserve">
        <v xml:space="preserve">100 x 210 ölçülerinde Laminat kaplamalı iki yüzü odun lifinden yapılmış levhalarla ( mdf) presli kapı yapılması (Kasa,kanat,pervaz, aksessuarlar_x000d_
dahil)</v>
      </c>
      <c r="D600" t="str">
        <v>adet</v>
      </c>
      <c r="E600" s="1">
        <v>17</v>
      </c>
      <c r="F600" s="2">
        <v>3605.88</v>
      </c>
      <c r="G600" s="2">
        <f>IF(F600="","",E600*F600)</f>
        <v>61299.96</v>
      </c>
      <c r="H600" t="str">
        <v>15.510.1103</v>
      </c>
      <c r="I600" t="str">
        <v>Laminat kaplamalı, iki yüzü odun lifinden yapılmış levhalarla (mdf) presli, kraft dolgulu iç kapı kanadı yapılması, yerine takılması</v>
      </c>
      <c r="J600" t="str">
        <v/>
      </c>
      <c r="K600" s="2">
        <v>3605.88</v>
      </c>
      <c r="M600" s="1">
        <v>59</v>
      </c>
      <c r="N600" t="str">
        <v>inşaat</v>
      </c>
      <c r="O600" t="str">
        <v>15.510.1104 (55)</v>
      </c>
    </row>
    <row r="601" ht="30" customHeight="1">
      <c r="A601" s="1">
        <v>576</v>
      </c>
      <c r="B601" s="1">
        <v>576</v>
      </c>
      <c r="C601" t="str">
        <v>6 cm yüksekliğinde kompozit süpürgelik yapılması</v>
      </c>
      <c r="D601" t="str">
        <v>metre</v>
      </c>
      <c r="E601" s="6">
        <v>342.65</v>
      </c>
      <c r="F601" s="2">
        <v>319.09</v>
      </c>
      <c r="G601" s="2">
        <f>IF(F601="","",E601*F601)</f>
        <v>109336.19</v>
      </c>
      <c r="H601" t="str">
        <v>15.405.1701</v>
      </c>
      <c r="I601" t="str">
        <v>Terrazo karodan süpürgelik yapılması yerine konulması, 6-10 cm yüksekliğinde, her kalınlıkta (Her türlü yüzey işlemli)</v>
      </c>
      <c r="J601" t="str">
        <v/>
      </c>
      <c r="K601" s="2">
        <v>319.09</v>
      </c>
      <c r="M601" s="1">
        <v>41</v>
      </c>
      <c r="N601" t="str">
        <v>inşaat</v>
      </c>
      <c r="O601" t="str">
        <v>15.435.1004 (36)</v>
      </c>
    </row>
    <row r="602" ht="60" customHeight="1" xml:space="preserve">
      <c r="A602" s="1">
        <v>577</v>
      </c>
      <c r="B602" s="1">
        <v>577</v>
      </c>
      <c r="C602" t="str" xml:space="preserve">
        <v xml:space="preserve">50 x 200 mm ölçülerinde her_x000d_
renkte alüminyum güneş kırıcı yapılması, arka taşıyıcı dahil (_x000d_
mlz + işçilik )</v>
      </c>
      <c r="D602" t="str">
        <v>metre</v>
      </c>
      <c r="E602" s="8">
        <v>2033.1</v>
      </c>
      <c r="G602" t="str">
        <f>IF(F602="","",E602*F602)</f>
        <v/>
      </c>
      <c r="M602" s="1">
        <v>0</v>
      </c>
    </row>
    <row r="603" ht="60" customHeight="1" xml:space="preserve">
      <c r="A603" s="1">
        <v>578</v>
      </c>
      <c r="B603" s="1">
        <v>578</v>
      </c>
      <c r="C603" t="str" xml:space="preserve">
        <v xml:space="preserve">100 x 200 mm ölçülerinde her_x000d_
renkte alüminyum güneş kırıcı yapılması, arka taşıyıcı dahil (_x000d_
mlz+ işçilik )</v>
      </c>
      <c r="D603" t="str">
        <v>metre</v>
      </c>
      <c r="E603" s="6">
        <v>455.95</v>
      </c>
      <c r="G603" t="str">
        <f>IF(F603="","",E603*F603)</f>
        <v/>
      </c>
      <c r="M603" s="1">
        <v>0</v>
      </c>
    </row>
    <row r="604" ht="60" customHeight="1" xml:space="preserve">
      <c r="A604" s="1">
        <v>579</v>
      </c>
      <c r="B604" s="1">
        <v>579</v>
      </c>
      <c r="C604" t="str" xml:space="preserve">
        <v xml:space="preserve">200 x 200 mm ölçülerinde her renkte alüminyum güneş kırıcı yapılması, arka taşıyıcı dahil (_x000d_
mlz+ işçilik )</v>
      </c>
      <c r="D604" t="str">
        <v>metre</v>
      </c>
      <c r="E604" s="6">
        <v>367.65</v>
      </c>
      <c r="G604" t="str">
        <f>IF(F604="","",E604*F604)</f>
        <v/>
      </c>
      <c r="M604" s="1">
        <v>0</v>
      </c>
    </row>
    <row r="605" ht="60" customHeight="1" xml:space="preserve">
      <c r="A605" s="1">
        <v>580</v>
      </c>
      <c r="B605" s="1">
        <v>580</v>
      </c>
      <c r="C605" t="str" xml:space="preserve">
        <v xml:space="preserve">%100 Polyamid ip ile üretilmiş toplam ağırlığı min 4000 gr/m2 halı ile döşeme kaplaması_x000d_
yapılması ( mlz+işçilik</v>
      </c>
      <c r="D605" t="str">
        <v>metrekare</v>
      </c>
      <c r="E605" s="3">
        <v>166.9</v>
      </c>
      <c r="F605" s="2">
        <v>1180</v>
      </c>
      <c r="G605" s="2">
        <f>IF(F605="","",E605*F605)</f>
        <v>196942</v>
      </c>
      <c r="H605" t="str">
        <v>04.V54/001</v>
      </c>
      <c r="I605" t="str">
        <v>YÜN HALILAR %100 Yerli Yün, 14-16 Mm Yüksekliğinde, 4000 Gr/M2 Halı İşbaşında Kaplaması</v>
      </c>
      <c r="J605" t="str">
        <v>M²</v>
      </c>
      <c r="K605" s="2">
        <v>1180</v>
      </c>
      <c r="M605" s="1">
        <v>34</v>
      </c>
      <c r="N605" t="str">
        <v>kultur-ve-turizm-bakanligi-2026-birim-fiyatlari — GÜNCEL FİYAT YOK</v>
      </c>
      <c r="O605" t="str">
        <v>V.1870/001 (33)</v>
      </c>
    </row>
    <row r="606" ht="60" customHeight="1" xml:space="preserve">
      <c r="A606" s="1">
        <v>581</v>
      </c>
      <c r="B606" s="1">
        <v>581</v>
      </c>
      <c r="C606" t="str" xml:space="preserve">
        <v xml:space="preserve">Bodrum katlarda çimento esaslı, çift bileşenli, kristalize malzeme ile negatif taraftan su yalıtımı_x000d_
yapılması (mlz.+işç.)</v>
      </c>
      <c r="D606" t="str">
        <v>metrekare</v>
      </c>
      <c r="E606" s="1">
        <v>100</v>
      </c>
      <c r="F606" s="2">
        <v>623.55</v>
      </c>
      <c r="G606" s="2">
        <f>IF(F606="","",E606*F606)</f>
        <v>62355</v>
      </c>
      <c r="H606" t="str">
        <v>15.270.1011</v>
      </c>
      <c r="I606" t="str">
        <v>Çimento esaslı tek bilesenli kristalize su yalıtım harcı ile 3 kat halinde toplam 2 mm kalınlıkta su yalıtımı yapılması</v>
      </c>
      <c r="J606" t="str">
        <v/>
      </c>
      <c r="K606" s="2">
        <v>623.55</v>
      </c>
      <c r="M606" s="1">
        <v>24</v>
      </c>
      <c r="N606" t="str">
        <v>inşaat</v>
      </c>
      <c r="O606" t="str">
        <v>15.270.1009 (24)</v>
      </c>
    </row>
    <row r="607" ht="90" customHeight="1" xml:space="preserve">
      <c r="A607" s="1">
        <v>582</v>
      </c>
      <c r="B607" s="1">
        <v>582</v>
      </c>
      <c r="C607" t="str" xml:space="preserve">
        <v xml:space="preserve">100'lük (et kalınlığı 1.8mm) Alüminyum Cephe Profilleri ile her renkte tekstüre giydirme cephe yapılması( 5+5mm lamine ,_x000d_
16mm hava boşluğu, 6mm 70-38 konfor cam)(malzeme+işçilik)</v>
      </c>
      <c r="D607" t="str">
        <v>metrekare</v>
      </c>
      <c r="E607" s="6">
        <v>618.43</v>
      </c>
      <c r="G607" t="str">
        <f>IF(F607="","",E607*F607)</f>
        <v/>
      </c>
      <c r="M607" s="1">
        <v>0</v>
      </c>
    </row>
    <row r="608" ht="75" customHeight="1" xml:space="preserve">
      <c r="A608" s="1">
        <v>583</v>
      </c>
      <c r="B608" s="1">
        <v>583</v>
      </c>
      <c r="C608" t="str" xml:space="preserve">
        <v xml:space="preserve">100'lük (et kalınlığı 1.8mm) Alüminyum Kapaklı Cephe Profilleri ile her renkte tekstüre çatı ışıklığı yapılması( 5+5mm_x000d_
lamine , 16mm hava boşluğu,</v>
      </c>
      <c r="D608" t="str">
        <v>metrekare</v>
      </c>
      <c r="E608" s="3">
        <v>129.6</v>
      </c>
      <c r="G608" t="str">
        <f>IF(F608="","",E608*F608)</f>
        <v/>
      </c>
      <c r="M608" s="1">
        <v>0</v>
      </c>
    </row>
    <row r="609" ht="30" customHeight="1" xml:space="preserve">
      <c r="C609" t="str" xml:space="preserve">
        <v xml:space="preserve">6mm 70-38 konfor_x000d_
cam)(malzeme+işçilik)</v>
      </c>
    </row>
    <row r="610" ht="30" customHeight="1">
      <c r="A610" s="1">
        <v>584</v>
      </c>
      <c r="B610" s="1">
        <v>584</v>
      </c>
      <c r="C610" t="str">
        <v>Proje ve detayına uygun Vin Tente Yapılması ve Yerine montajı işçiliği</v>
      </c>
      <c r="D610" t="str">
        <v>metrekare</v>
      </c>
      <c r="E610" s="3">
        <v>23.2</v>
      </c>
      <c r="G610" t="str">
        <f>IF(F610="","",E610*F610)</f>
        <v/>
      </c>
      <c r="M610" s="1">
        <v>0</v>
      </c>
    </row>
    <row r="611" ht="90" customHeight="1" xml:space="preserve">
      <c r="A611" s="1">
        <v>585</v>
      </c>
      <c r="B611" s="1">
        <v>585</v>
      </c>
      <c r="C611" t="str" xml:space="preserve">
        <v xml:space="preserve">MANUEL GİYOTİNLİ 60/80 mm İNCELİKTE SES YALITIMLI HAREKETLİ BÖLME DUVAR YAPILMASI (RAY ve AKSESUARLAR_x000d_
DAHİL)</v>
      </c>
      <c r="D611" t="str">
        <v>metrekare</v>
      </c>
      <c r="E611" s="6">
        <v>59.33</v>
      </c>
      <c r="G611" t="str">
        <f>IF(F611="","",E611*F611)</f>
        <v/>
      </c>
      <c r="M611" s="1">
        <v>0</v>
      </c>
    </row>
    <row r="612" ht="60" customHeight="1" xml:space="preserve">
      <c r="A612" s="1">
        <v>586</v>
      </c>
      <c r="B612" s="1">
        <v>586</v>
      </c>
      <c r="C612" t="str" xml:space="preserve">
        <v xml:space="preserve">%100 Akrilik malzeme ile 60 cm eninde 12mm kalınlığında tezgah yapılması ( Süpürgelik h:5cm,_x000d_
Alın h:10cm)</v>
      </c>
      <c r="D612" t="str">
        <v>metre</v>
      </c>
      <c r="E612" s="6">
        <v>42.53</v>
      </c>
      <c r="G612" t="str">
        <f>IF(F612="","",E612*F612)</f>
        <v/>
      </c>
      <c r="M612" s="1">
        <v>0</v>
      </c>
    </row>
    <row r="613" ht="45" customHeight="1" xml:space="preserve">
      <c r="A613" s="1">
        <v>587</v>
      </c>
      <c r="B613" s="1">
        <v>587</v>
      </c>
      <c r="C613" t="str" xml:space="preserve">
        <v xml:space="preserve">Düz yansıtıcı mdflam ile duvar_x000d_
kaplaması yapılması (malzeme+işçilik)</v>
      </c>
      <c r="D613" t="str">
        <v>metrekare</v>
      </c>
      <c r="E613" s="1">
        <v>150</v>
      </c>
      <c r="F613" s="2">
        <v>4903.05</v>
      </c>
      <c r="G613" s="2">
        <f>IF(F613="","",E613*F613)</f>
        <v>735457.5</v>
      </c>
      <c r="H613" t="str">
        <v>KTB.51.2002</v>
      </c>
      <c r="I613" t="str">
        <v>Traverten Malzeme İle Mekanik Cephe Kaplaması Yapılması</v>
      </c>
      <c r="J613" t="str">
        <v>m²</v>
      </c>
      <c r="K613" s="2">
        <v>4903.05</v>
      </c>
      <c r="M613" s="1">
        <v>21</v>
      </c>
      <c r="N613" t="str">
        <v>kultur-ve-turizm-bakanligi-2026-birim-fiyatlari — GÜNCEL FİYAT YOK</v>
      </c>
    </row>
    <row r="614" ht="60" customHeight="1" xml:space="preserve">
      <c r="A614" s="1">
        <v>588</v>
      </c>
      <c r="B614" s="1">
        <v>588</v>
      </c>
      <c r="C614" t="str" xml:space="preserve">
        <v xml:space="preserve">Akustik Çıtalı(mdflam) Keçeli Duvar Kaplaması ile Düz Duvarlar için kaplama yapılması_x000d_
(malzeme+işçilik)</v>
      </c>
      <c r="D614" t="str">
        <v>metrekare</v>
      </c>
      <c r="E614" s="1">
        <v>230</v>
      </c>
      <c r="G614" t="str">
        <f>IF(F614="","",E614*F614)</f>
        <v/>
      </c>
      <c r="M614" s="1">
        <v>0</v>
      </c>
    </row>
    <row r="615" ht="60" customHeight="1" xml:space="preserve">
      <c r="A615" s="1">
        <v>589</v>
      </c>
      <c r="B615" s="1">
        <v>589</v>
      </c>
      <c r="C615" t="str" xml:space="preserve">
        <v xml:space="preserve">Akustik Çıtalı(mdflam) Keçeli Duvar Kaplaması ile yuvarlak kolonlar için kaplama yapılması_x000d_
(malzeme+işçilik)</v>
      </c>
      <c r="D615" t="str">
        <v>metrekare</v>
      </c>
      <c r="E615" s="1">
        <v>32</v>
      </c>
      <c r="G615" t="str">
        <f>IF(F615="","",E615*F615)</f>
        <v/>
      </c>
      <c r="M615" s="1">
        <v>0</v>
      </c>
    </row>
    <row r="616" ht="45" customHeight="1" xml:space="preserve">
      <c r="A616" s="1">
        <v>590</v>
      </c>
      <c r="B616" s="1">
        <v>590</v>
      </c>
      <c r="C616" t="str" xml:space="preserve">
        <v xml:space="preserve">Akustik Delikli Duvar (MdfLam -_x000d_
1000delik/m2) kaplaması yapılması (malzeme+işçilik)</v>
      </c>
      <c r="D616" t="str">
        <v>metrekare</v>
      </c>
      <c r="E616" s="1">
        <v>135</v>
      </c>
      <c r="G616" t="str">
        <f>IF(F616="","",E616*F616)</f>
        <v/>
      </c>
      <c r="M616" s="1">
        <v>0</v>
      </c>
    </row>
    <row r="617" ht="45" customHeight="1" xml:space="preserve">
      <c r="A617" s="1">
        <v>591</v>
      </c>
      <c r="B617" s="1">
        <v>591</v>
      </c>
      <c r="C617" t="str" xml:space="preserve">
        <v xml:space="preserve">60 X 120 cm ölçülerinde her renk ve desende 1. kalite, rektifiyeli_x000d_
seramik döşenmesi ( mlz+işçilik )</v>
      </c>
      <c r="D617" t="str">
        <v>metrekare</v>
      </c>
      <c r="E617" s="8">
        <v>3164.7</v>
      </c>
      <c r="F617" s="2">
        <v>767</v>
      </c>
      <c r="G617" s="2">
        <f>IF(F617="","",E617*F617)</f>
        <v>2427324.9</v>
      </c>
      <c r="H617" t="str">
        <v>10.240.3614</v>
      </c>
      <c r="I617" t="str">
        <v>Her türlü renk, desen ve yüzey özelliğinde, mat, sırsız porselen karo (60 X 90 cm - 60 x 120 cm anma ebatlarında) (Rektifiyeli)</v>
      </c>
      <c r="J617" t="str">
        <v>m²</v>
      </c>
      <c r="K617" s="2">
        <v>767</v>
      </c>
      <c r="M617" s="1">
        <v>25</v>
      </c>
      <c r="N617" t="str">
        <v>kitap — GÜNCEL FİYAT YOK</v>
      </c>
      <c r="O617" t="str">
        <v>10.240.3910 (25)</v>
      </c>
    </row>
    <row r="618" ht="15" customHeight="1">
      <c r="A618" s="1">
        <v>592</v>
      </c>
      <c r="B618" s="1">
        <v>592</v>
      </c>
      <c r="C618" t="str">
        <v>Şap Sökülmesi</v>
      </c>
      <c r="D618" t="str">
        <v>metrekare</v>
      </c>
      <c r="E618" s="4">
        <v>4800</v>
      </c>
      <c r="F618" s="2">
        <v>256.25</v>
      </c>
      <c r="G618" s="2">
        <f>IF(F618="","",E618*F618)</f>
        <v>1230000</v>
      </c>
      <c r="H618" t="str">
        <v>V.0337</v>
      </c>
      <c r="I618" t="str">
        <v>Şap Sökülmesi</v>
      </c>
      <c r="J618" t="str">
        <v>M²</v>
      </c>
      <c r="K618" s="2">
        <v>256.25</v>
      </c>
      <c r="M618" s="1">
        <v>100</v>
      </c>
      <c r="N618" t="str">
        <v>kultur-ve-turizm-bakanligi-2026-birim-fiyatlari — GÜNCEL FİYAT YOK</v>
      </c>
      <c r="O618" t="str">
        <v>KTB.90.6001 (34)</v>
      </c>
    </row>
    <row r="619">
      <c r="A619" t="str">
        <v>TOPLAM TUTAR (KDV Hariç)</v>
      </c>
      <c r="G619" s="2">
        <f>SUM(G2:G618)</f>
        <v>147890309.8</v>
      </c>
    </row>
  </sheetData>
  <mergeCells count="1">
    <mergeCell ref="A619:F619"/>
  </mergeCells>
  <pageMargins left="0.7" right="0.7" top="0.75" bottom="0.75" header="0.3" footer="0.3"/>
  <ignoredErrors>
    <ignoredError numberStoredAsText="1" sqref="A1:O619"/>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2026-08-07T15:07:40Z</dcterms:created>
  <dcterms:modified xsi:type="dcterms:W3CDTF">2026-08-07T15:14:21Z</dcterms:modified>
  <cp:lastModifiedBy>Administrator</cp:lastModifiedBy>
  <dc:creator>Online2PDF.com</dc:creator>
</cp:coreProperties>
</file>